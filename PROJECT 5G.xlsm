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tables/table1.xml" ContentType="application/vnd.openxmlformats-officedocument.spreadsheetml.table+xml"/>
  <Override PartName="/xl/tables/table2.xml" ContentType="application/vnd.openxmlformats-officedocument.spreadsheetml.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7.xml" ContentType="application/vnd.openxmlformats-officedocument.drawingml.chart+xml"/>
  <Override PartName="/xl/charts/chart8.xml" ContentType="application/vnd.openxmlformats-officedocument.drawingml.chart+xml"/>
  <Override PartName="/xl/pivotTables/pivotTable16.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9.xml" ContentType="application/vnd.openxmlformats-officedocument.drawingml.chart+xml"/>
  <Override PartName="/xl/drawings/drawing4.xml" ContentType="application/vnd.openxmlformats-officedocument.drawingml.chartshapes+xml"/>
  <Override PartName="/xl/charts/chart10.xml" ContentType="application/vnd.openxmlformats-officedocument.drawingml.chart+xml"/>
  <Override PartName="/xl/drawings/drawing5.xml" ContentType="application/vnd.openxmlformats-officedocument.drawingml.chartshapes+xml"/>
  <Override PartName="/xl/charts/chart11.xml" ContentType="application/vnd.openxmlformats-officedocument.drawingml.chart+xml"/>
  <Override PartName="/xl/drawings/drawing6.xml" ContentType="application/vnd.openxmlformats-officedocument.drawingml.chartshapes+xml"/>
  <Override PartName="/xl/charts/chart12.xml" ContentType="application/vnd.openxmlformats-officedocument.drawingml.chart+xml"/>
  <Override PartName="/xl/drawings/drawing7.xml" ContentType="application/vnd.openxmlformats-officedocument.drawingml.chartshapes+xml"/>
  <Override PartName="/xl/drawings/drawing8.xml" ContentType="application/vnd.openxmlformats-officedocument.drawing+xml"/>
  <Override PartName="/xl/slicers/slicer4.xml" ContentType="application/vnd.ms-excel.slicer+xml"/>
  <Override PartName="/xl/charts/chart13.xml" ContentType="application/vnd.openxmlformats-officedocument.drawingml.chart+xml"/>
  <Override PartName="/xl/charts/chart14.xml" ContentType="application/vnd.openxmlformats-officedocument.drawingml.chart+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9.xml" ContentType="application/vnd.openxmlformats-officedocument.drawing+xml"/>
  <Override PartName="/xl/slicers/slicer5.xml" ContentType="application/vnd.ms-excel.slicer+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10.xml" ContentType="application/vnd.openxmlformats-officedocument.drawingml.chartshapes+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12" codeName="{00000000-0000-0000-0000-000000000000}"/>
  <workbookPr showInkAnnotation="0" codeName="ThisWorkbook" hidePivotFieldList="1" defaultThemeVersion="124226"/>
  <xr:revisionPtr revIDLastSave="21" documentId="11_340D28E820C380CCC1593F44EF36725BC9322446" xr6:coauthVersionLast="47" xr6:coauthVersionMax="47" xr10:uidLastSave="{FBBDDCDF-BE69-40CB-87CB-2809F36E9663}"/>
  <bookViews>
    <workbookView xWindow="480" yWindow="315" windowWidth="19875" windowHeight="7470" tabRatio="925" firstSheet="9" activeTab="11" xr2:uid="{00000000-000D-0000-FFFF-FFFF00000000}"/>
  </bookViews>
  <sheets>
    <sheet name="dim_date" sheetId="2" r:id="rId1"/>
    <sheet name="dim_plan" sheetId="3" r:id="rId2"/>
    <sheet name="fact_atliqo_metrics" sheetId="4" state="hidden" r:id="rId3"/>
    <sheet name="fact_market_Share" sheetId="5" state="hidden" r:id="rId4"/>
    <sheet name="fact_plan_revenue" sheetId="6" state="hidden" r:id="rId5"/>
    <sheet name="dim_cities" sheetId="1" r:id="rId6"/>
    <sheet name="Sheet7" sheetId="8" state="hidden" r:id="rId7"/>
    <sheet name="Sheet8" sheetId="9" state="hidden" r:id="rId8"/>
    <sheet name="Sheet9" sheetId="10" state="hidden" r:id="rId9"/>
    <sheet name="atliqo metrics" sheetId="11" r:id="rId10"/>
    <sheet name="market share" sheetId="12" r:id="rId11"/>
    <sheet name="plan_revnue" sheetId="13" r:id="rId12"/>
    <sheet name="DASHBOARD" sheetId="14" r:id="rId13"/>
  </sheets>
  <definedNames>
    <definedName name="dim_date" localSheetId="0">dim_date!$A$1:$D$9</definedName>
    <definedName name="dim_date" localSheetId="3">fact_market_Share!$I$1:$L$9</definedName>
    <definedName name="dim_date" localSheetId="4">fact_plan_revenue!$H$1:$K$9</definedName>
    <definedName name="dim_plan" localSheetId="1">dim_plan!$A$1:$B$14</definedName>
    <definedName name="fact_plan_revenue" localSheetId="4">fact_plan_revenue!$A$1:$F$1201</definedName>
    <definedName name="Slicer_5g">#N/A</definedName>
    <definedName name="Slicer_5G1">#N/A</definedName>
    <definedName name="Slicer_CITY">#N/A</definedName>
    <definedName name="Slicer_CITY1">#N/A</definedName>
    <definedName name="Slicer_CITY2">#N/A</definedName>
    <definedName name="Slicer_date">#N/A</definedName>
    <definedName name="Slicer_date1">#N/A</definedName>
    <definedName name="Slicer_date2">#N/A</definedName>
    <definedName name="Slicer_plans">#N/A</definedName>
  </definedNames>
  <calcPr calcId="191028"/>
  <pivotCaches>
    <pivotCache cacheId="11963" r:id="rId14"/>
    <pivotCache cacheId="11964" r:id="rId15"/>
    <pivotCache cacheId="11965" r:id="rId16"/>
    <pivotCache cacheId="11966"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9" i="11" l="1"/>
  <c r="S9" i="11"/>
  <c r="J9" i="11" l="1"/>
  <c r="F9" i="11"/>
  <c r="B3" i="6" l="1"/>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B762" i="6"/>
  <c r="B763" i="6"/>
  <c r="B764" i="6"/>
  <c r="B765" i="6"/>
  <c r="B766" i="6"/>
  <c r="B767" i="6"/>
  <c r="B768" i="6"/>
  <c r="B769" i="6"/>
  <c r="B770" i="6"/>
  <c r="B771" i="6"/>
  <c r="B772" i="6"/>
  <c r="B773" i="6"/>
  <c r="B774" i="6"/>
  <c r="B775" i="6"/>
  <c r="B776" i="6"/>
  <c r="B777" i="6"/>
  <c r="B778" i="6"/>
  <c r="B779" i="6"/>
  <c r="B780" i="6"/>
  <c r="B781" i="6"/>
  <c r="B782" i="6"/>
  <c r="B783" i="6"/>
  <c r="B784" i="6"/>
  <c r="B785" i="6"/>
  <c r="B786" i="6"/>
  <c r="B787" i="6"/>
  <c r="B788" i="6"/>
  <c r="B789" i="6"/>
  <c r="B790" i="6"/>
  <c r="B791" i="6"/>
  <c r="B792" i="6"/>
  <c r="B793" i="6"/>
  <c r="B794" i="6"/>
  <c r="B795" i="6"/>
  <c r="B796" i="6"/>
  <c r="B797" i="6"/>
  <c r="B798" i="6"/>
  <c r="B799" i="6"/>
  <c r="B800" i="6"/>
  <c r="B801" i="6"/>
  <c r="B802" i="6"/>
  <c r="B803" i="6"/>
  <c r="B804" i="6"/>
  <c r="B805" i="6"/>
  <c r="B806" i="6"/>
  <c r="B807" i="6"/>
  <c r="B808" i="6"/>
  <c r="B809" i="6"/>
  <c r="B810" i="6"/>
  <c r="B811" i="6"/>
  <c r="B812" i="6"/>
  <c r="B813" i="6"/>
  <c r="B814" i="6"/>
  <c r="B815" i="6"/>
  <c r="B816" i="6"/>
  <c r="B817" i="6"/>
  <c r="B818" i="6"/>
  <c r="B819" i="6"/>
  <c r="B820" i="6"/>
  <c r="B821" i="6"/>
  <c r="B822" i="6"/>
  <c r="B823" i="6"/>
  <c r="B824" i="6"/>
  <c r="B825" i="6"/>
  <c r="B826" i="6"/>
  <c r="B827" i="6"/>
  <c r="B828" i="6"/>
  <c r="B829" i="6"/>
  <c r="B830" i="6"/>
  <c r="B831" i="6"/>
  <c r="B832" i="6"/>
  <c r="B833" i="6"/>
  <c r="B834" i="6"/>
  <c r="B835" i="6"/>
  <c r="B836" i="6"/>
  <c r="B837" i="6"/>
  <c r="B838" i="6"/>
  <c r="B839" i="6"/>
  <c r="B840" i="6"/>
  <c r="B841" i="6"/>
  <c r="B842" i="6"/>
  <c r="B843" i="6"/>
  <c r="B844" i="6"/>
  <c r="B845" i="6"/>
  <c r="B846" i="6"/>
  <c r="B847" i="6"/>
  <c r="B848" i="6"/>
  <c r="B849" i="6"/>
  <c r="B850" i="6"/>
  <c r="B851" i="6"/>
  <c r="B852" i="6"/>
  <c r="B853" i="6"/>
  <c r="B854" i="6"/>
  <c r="B855" i="6"/>
  <c r="B856" i="6"/>
  <c r="B857" i="6"/>
  <c r="B858" i="6"/>
  <c r="B859" i="6"/>
  <c r="B860" i="6"/>
  <c r="B861" i="6"/>
  <c r="B862" i="6"/>
  <c r="B863" i="6"/>
  <c r="B864" i="6"/>
  <c r="B865" i="6"/>
  <c r="B866" i="6"/>
  <c r="B867" i="6"/>
  <c r="B868" i="6"/>
  <c r="B869" i="6"/>
  <c r="B870" i="6"/>
  <c r="B871" i="6"/>
  <c r="B872" i="6"/>
  <c r="B873" i="6"/>
  <c r="B874" i="6"/>
  <c r="B875" i="6"/>
  <c r="B876" i="6"/>
  <c r="B877" i="6"/>
  <c r="B878" i="6"/>
  <c r="B879" i="6"/>
  <c r="B880" i="6"/>
  <c r="B881" i="6"/>
  <c r="B882" i="6"/>
  <c r="B883" i="6"/>
  <c r="B884" i="6"/>
  <c r="B885" i="6"/>
  <c r="B886" i="6"/>
  <c r="B887" i="6"/>
  <c r="B888" i="6"/>
  <c r="B889" i="6"/>
  <c r="B890" i="6"/>
  <c r="B891" i="6"/>
  <c r="B892" i="6"/>
  <c r="B893" i="6"/>
  <c r="B894" i="6"/>
  <c r="B895" i="6"/>
  <c r="B896" i="6"/>
  <c r="B897" i="6"/>
  <c r="B898" i="6"/>
  <c r="B899" i="6"/>
  <c r="B900" i="6"/>
  <c r="B901" i="6"/>
  <c r="B902" i="6"/>
  <c r="B903" i="6"/>
  <c r="B904" i="6"/>
  <c r="B905" i="6"/>
  <c r="B906" i="6"/>
  <c r="B907" i="6"/>
  <c r="B908" i="6"/>
  <c r="B909" i="6"/>
  <c r="B910" i="6"/>
  <c r="B911" i="6"/>
  <c r="B912" i="6"/>
  <c r="B913" i="6"/>
  <c r="B914" i="6"/>
  <c r="B915" i="6"/>
  <c r="B916" i="6"/>
  <c r="B917" i="6"/>
  <c r="B918" i="6"/>
  <c r="B919" i="6"/>
  <c r="B920" i="6"/>
  <c r="B921" i="6"/>
  <c r="B922" i="6"/>
  <c r="B923" i="6"/>
  <c r="B924" i="6"/>
  <c r="B925" i="6"/>
  <c r="B926" i="6"/>
  <c r="B927" i="6"/>
  <c r="B928" i="6"/>
  <c r="B929" i="6"/>
  <c r="B930" i="6"/>
  <c r="B931" i="6"/>
  <c r="B932" i="6"/>
  <c r="B933" i="6"/>
  <c r="B934" i="6"/>
  <c r="B935" i="6"/>
  <c r="B936" i="6"/>
  <c r="B937" i="6"/>
  <c r="B938" i="6"/>
  <c r="B939" i="6"/>
  <c r="B940" i="6"/>
  <c r="B941" i="6"/>
  <c r="B942" i="6"/>
  <c r="B943" i="6"/>
  <c r="B944" i="6"/>
  <c r="B945" i="6"/>
  <c r="B946" i="6"/>
  <c r="B947" i="6"/>
  <c r="B948" i="6"/>
  <c r="B949" i="6"/>
  <c r="B950" i="6"/>
  <c r="B951" i="6"/>
  <c r="B952" i="6"/>
  <c r="B953" i="6"/>
  <c r="B954" i="6"/>
  <c r="B955" i="6"/>
  <c r="B956" i="6"/>
  <c r="B957" i="6"/>
  <c r="B958" i="6"/>
  <c r="B959" i="6"/>
  <c r="B960" i="6"/>
  <c r="B961" i="6"/>
  <c r="B962" i="6"/>
  <c r="B963" i="6"/>
  <c r="B964" i="6"/>
  <c r="B965" i="6"/>
  <c r="B966" i="6"/>
  <c r="B967" i="6"/>
  <c r="B968" i="6"/>
  <c r="B969" i="6"/>
  <c r="B970" i="6"/>
  <c r="B971" i="6"/>
  <c r="B972" i="6"/>
  <c r="B973" i="6"/>
  <c r="B974" i="6"/>
  <c r="B975" i="6"/>
  <c r="B976" i="6"/>
  <c r="B977" i="6"/>
  <c r="B978" i="6"/>
  <c r="B979" i="6"/>
  <c r="B980" i="6"/>
  <c r="B981" i="6"/>
  <c r="B982" i="6"/>
  <c r="B983" i="6"/>
  <c r="B984" i="6"/>
  <c r="B985" i="6"/>
  <c r="B986" i="6"/>
  <c r="B987" i="6"/>
  <c r="B988" i="6"/>
  <c r="B989" i="6"/>
  <c r="B990" i="6"/>
  <c r="B991" i="6"/>
  <c r="B992" i="6"/>
  <c r="B993" i="6"/>
  <c r="B994" i="6"/>
  <c r="B995" i="6"/>
  <c r="B996" i="6"/>
  <c r="B997" i="6"/>
  <c r="B998" i="6"/>
  <c r="B999" i="6"/>
  <c r="B1000" i="6"/>
  <c r="B1001" i="6"/>
  <c r="B1002" i="6"/>
  <c r="B1003" i="6"/>
  <c r="B1004" i="6"/>
  <c r="B1005" i="6"/>
  <c r="B1006" i="6"/>
  <c r="B1007" i="6"/>
  <c r="B1008" i="6"/>
  <c r="B1009" i="6"/>
  <c r="B1010" i="6"/>
  <c r="B1011" i="6"/>
  <c r="B1012" i="6"/>
  <c r="B1013" i="6"/>
  <c r="B1014" i="6"/>
  <c r="B1015" i="6"/>
  <c r="B1016" i="6"/>
  <c r="B1017" i="6"/>
  <c r="B1018" i="6"/>
  <c r="B1019" i="6"/>
  <c r="B1020" i="6"/>
  <c r="B1021" i="6"/>
  <c r="B1022" i="6"/>
  <c r="B1023" i="6"/>
  <c r="B1024" i="6"/>
  <c r="B1025" i="6"/>
  <c r="B1026" i="6"/>
  <c r="B1027" i="6"/>
  <c r="B1028" i="6"/>
  <c r="B1029" i="6"/>
  <c r="B1030" i="6"/>
  <c r="B1031" i="6"/>
  <c r="B1032" i="6"/>
  <c r="B1033" i="6"/>
  <c r="B1034" i="6"/>
  <c r="B1035" i="6"/>
  <c r="B1036" i="6"/>
  <c r="B1037" i="6"/>
  <c r="B1038" i="6"/>
  <c r="B1039" i="6"/>
  <c r="B1040" i="6"/>
  <c r="B1041" i="6"/>
  <c r="B1042" i="6"/>
  <c r="B1043" i="6"/>
  <c r="B1044" i="6"/>
  <c r="B1045" i="6"/>
  <c r="B1046" i="6"/>
  <c r="B1047" i="6"/>
  <c r="B1048" i="6"/>
  <c r="B1049" i="6"/>
  <c r="B1050" i="6"/>
  <c r="B1051" i="6"/>
  <c r="B1052" i="6"/>
  <c r="B1053" i="6"/>
  <c r="B1054" i="6"/>
  <c r="B1055" i="6"/>
  <c r="B1056" i="6"/>
  <c r="B1057" i="6"/>
  <c r="B1058" i="6"/>
  <c r="B1059" i="6"/>
  <c r="B1060" i="6"/>
  <c r="B1061" i="6"/>
  <c r="B1062" i="6"/>
  <c r="B1063" i="6"/>
  <c r="B1064" i="6"/>
  <c r="B1065" i="6"/>
  <c r="B1066" i="6"/>
  <c r="B1067" i="6"/>
  <c r="B1068" i="6"/>
  <c r="B1069" i="6"/>
  <c r="B1070" i="6"/>
  <c r="B1071" i="6"/>
  <c r="B1072" i="6"/>
  <c r="B1073" i="6"/>
  <c r="B1074" i="6"/>
  <c r="B1075" i="6"/>
  <c r="B1076" i="6"/>
  <c r="B1077" i="6"/>
  <c r="B1078" i="6"/>
  <c r="B1079" i="6"/>
  <c r="B1080" i="6"/>
  <c r="B1081" i="6"/>
  <c r="B1082" i="6"/>
  <c r="B1083" i="6"/>
  <c r="B1084" i="6"/>
  <c r="B1085" i="6"/>
  <c r="B1086" i="6"/>
  <c r="B1087" i="6"/>
  <c r="B1088" i="6"/>
  <c r="B1089" i="6"/>
  <c r="B1090" i="6"/>
  <c r="B1091" i="6"/>
  <c r="B1092" i="6"/>
  <c r="B1093" i="6"/>
  <c r="B1094" i="6"/>
  <c r="B1095" i="6"/>
  <c r="B1096" i="6"/>
  <c r="B1097" i="6"/>
  <c r="B1098" i="6"/>
  <c r="B1099" i="6"/>
  <c r="B1100" i="6"/>
  <c r="B1101" i="6"/>
  <c r="B1102" i="6"/>
  <c r="B1103" i="6"/>
  <c r="B1104" i="6"/>
  <c r="B1105" i="6"/>
  <c r="B1106" i="6"/>
  <c r="B1107" i="6"/>
  <c r="B1108" i="6"/>
  <c r="B1109" i="6"/>
  <c r="B1110" i="6"/>
  <c r="B1111" i="6"/>
  <c r="B1112" i="6"/>
  <c r="B1113" i="6"/>
  <c r="B1114" i="6"/>
  <c r="B1115" i="6"/>
  <c r="B1116" i="6"/>
  <c r="B1117" i="6"/>
  <c r="B1118" i="6"/>
  <c r="B1119" i="6"/>
  <c r="B1120" i="6"/>
  <c r="B1121" i="6"/>
  <c r="B1122" i="6"/>
  <c r="B1123" i="6"/>
  <c r="B1124" i="6"/>
  <c r="B1125" i="6"/>
  <c r="B1126" i="6"/>
  <c r="B1127" i="6"/>
  <c r="B1128" i="6"/>
  <c r="B1129" i="6"/>
  <c r="B1130" i="6"/>
  <c r="B1131" i="6"/>
  <c r="B1132" i="6"/>
  <c r="B1133" i="6"/>
  <c r="B1134" i="6"/>
  <c r="B1135" i="6"/>
  <c r="B1136" i="6"/>
  <c r="B1137" i="6"/>
  <c r="B1138" i="6"/>
  <c r="B1139" i="6"/>
  <c r="B1140" i="6"/>
  <c r="B1141" i="6"/>
  <c r="B1142" i="6"/>
  <c r="B1143" i="6"/>
  <c r="B1144" i="6"/>
  <c r="B1145" i="6"/>
  <c r="B1146" i="6"/>
  <c r="B1147" i="6"/>
  <c r="B1148" i="6"/>
  <c r="B1149" i="6"/>
  <c r="B1150" i="6"/>
  <c r="B1151" i="6"/>
  <c r="B1152" i="6"/>
  <c r="B1153" i="6"/>
  <c r="B1154" i="6"/>
  <c r="B1155" i="6"/>
  <c r="B1156" i="6"/>
  <c r="B1157" i="6"/>
  <c r="B1158" i="6"/>
  <c r="B1159" i="6"/>
  <c r="B1160" i="6"/>
  <c r="B1161" i="6"/>
  <c r="B1162" i="6"/>
  <c r="B1163" i="6"/>
  <c r="B1164" i="6"/>
  <c r="B1165" i="6"/>
  <c r="B1166" i="6"/>
  <c r="B1167" i="6"/>
  <c r="B1168" i="6"/>
  <c r="B1169" i="6"/>
  <c r="B1170" i="6"/>
  <c r="B1171" i="6"/>
  <c r="B1172" i="6"/>
  <c r="B1173" i="6"/>
  <c r="B1174" i="6"/>
  <c r="B1175" i="6"/>
  <c r="B1176" i="6"/>
  <c r="B1177" i="6"/>
  <c r="B1178" i="6"/>
  <c r="B1179" i="6"/>
  <c r="B1180" i="6"/>
  <c r="B1181" i="6"/>
  <c r="B1182" i="6"/>
  <c r="B1183" i="6"/>
  <c r="B1184" i="6"/>
  <c r="B1185" i="6"/>
  <c r="B1186" i="6"/>
  <c r="B1187" i="6"/>
  <c r="B1188" i="6"/>
  <c r="B1189" i="6"/>
  <c r="B1190" i="6"/>
  <c r="B1191" i="6"/>
  <c r="B1192" i="6"/>
  <c r="B1193" i="6"/>
  <c r="B1194" i="6"/>
  <c r="B1195" i="6"/>
  <c r="B1196" i="6"/>
  <c r="B1197" i="6"/>
  <c r="B1198" i="6"/>
  <c r="B1199" i="6"/>
  <c r="B1200" i="6"/>
  <c r="B1201" i="6"/>
  <c r="B2" i="6"/>
  <c r="D3" i="6"/>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84" i="6"/>
  <c r="D85" i="6"/>
  <c r="D86" i="6"/>
  <c r="D87" i="6"/>
  <c r="D88" i="6"/>
  <c r="D89" i="6"/>
  <c r="D90" i="6"/>
  <c r="D91" i="6"/>
  <c r="D92" i="6"/>
  <c r="D93" i="6"/>
  <c r="D94" i="6"/>
  <c r="D95" i="6"/>
  <c r="D96" i="6"/>
  <c r="D97" i="6"/>
  <c r="D98" i="6"/>
  <c r="D99" i="6"/>
  <c r="D100" i="6"/>
  <c r="D101" i="6"/>
  <c r="D102" i="6"/>
  <c r="D103" i="6"/>
  <c r="D104" i="6"/>
  <c r="D105" i="6"/>
  <c r="D106" i="6"/>
  <c r="D107" i="6"/>
  <c r="D108" i="6"/>
  <c r="D109" i="6"/>
  <c r="D110" i="6"/>
  <c r="D111" i="6"/>
  <c r="D112" i="6"/>
  <c r="D113" i="6"/>
  <c r="D114" i="6"/>
  <c r="D115" i="6"/>
  <c r="D116" i="6"/>
  <c r="D117" i="6"/>
  <c r="D118" i="6"/>
  <c r="D119" i="6"/>
  <c r="D120" i="6"/>
  <c r="D121" i="6"/>
  <c r="D122" i="6"/>
  <c r="D123" i="6"/>
  <c r="D124" i="6"/>
  <c r="D125" i="6"/>
  <c r="D126" i="6"/>
  <c r="D127" i="6"/>
  <c r="D128" i="6"/>
  <c r="D129" i="6"/>
  <c r="D130" i="6"/>
  <c r="D131" i="6"/>
  <c r="D132" i="6"/>
  <c r="D133" i="6"/>
  <c r="D134" i="6"/>
  <c r="D135" i="6"/>
  <c r="D136" i="6"/>
  <c r="D137" i="6"/>
  <c r="D138" i="6"/>
  <c r="D139" i="6"/>
  <c r="D140" i="6"/>
  <c r="D141" i="6"/>
  <c r="D142" i="6"/>
  <c r="D143" i="6"/>
  <c r="D144" i="6"/>
  <c r="D145" i="6"/>
  <c r="D146" i="6"/>
  <c r="D147" i="6"/>
  <c r="D148" i="6"/>
  <c r="D149" i="6"/>
  <c r="D150" i="6"/>
  <c r="D151" i="6"/>
  <c r="D152" i="6"/>
  <c r="D153" i="6"/>
  <c r="D154" i="6"/>
  <c r="D155" i="6"/>
  <c r="D156" i="6"/>
  <c r="D157" i="6"/>
  <c r="D158" i="6"/>
  <c r="D159" i="6"/>
  <c r="D160" i="6"/>
  <c r="D161" i="6"/>
  <c r="D162" i="6"/>
  <c r="D163" i="6"/>
  <c r="D164" i="6"/>
  <c r="D165" i="6"/>
  <c r="D166" i="6"/>
  <c r="D167" i="6"/>
  <c r="D168" i="6"/>
  <c r="D169" i="6"/>
  <c r="D170" i="6"/>
  <c r="D171" i="6"/>
  <c r="D172" i="6"/>
  <c r="D173" i="6"/>
  <c r="D174" i="6"/>
  <c r="D175" i="6"/>
  <c r="D176" i="6"/>
  <c r="D177" i="6"/>
  <c r="D178" i="6"/>
  <c r="D179" i="6"/>
  <c r="D180" i="6"/>
  <c r="D181" i="6"/>
  <c r="D182" i="6"/>
  <c r="D183" i="6"/>
  <c r="D184" i="6"/>
  <c r="D185" i="6"/>
  <c r="D186" i="6"/>
  <c r="D187" i="6"/>
  <c r="D188" i="6"/>
  <c r="D189" i="6"/>
  <c r="D190" i="6"/>
  <c r="D191" i="6"/>
  <c r="D192" i="6"/>
  <c r="D193" i="6"/>
  <c r="D194" i="6"/>
  <c r="D195" i="6"/>
  <c r="D196" i="6"/>
  <c r="D197" i="6"/>
  <c r="D198" i="6"/>
  <c r="D199" i="6"/>
  <c r="D200" i="6"/>
  <c r="D201" i="6"/>
  <c r="D202" i="6"/>
  <c r="D203" i="6"/>
  <c r="D204" i="6"/>
  <c r="D205" i="6"/>
  <c r="D206" i="6"/>
  <c r="D207" i="6"/>
  <c r="D208" i="6"/>
  <c r="D209" i="6"/>
  <c r="D210" i="6"/>
  <c r="D211" i="6"/>
  <c r="D212" i="6"/>
  <c r="D213" i="6"/>
  <c r="D214" i="6"/>
  <c r="D215" i="6"/>
  <c r="D216" i="6"/>
  <c r="D217" i="6"/>
  <c r="D218" i="6"/>
  <c r="D219" i="6"/>
  <c r="D220" i="6"/>
  <c r="D221" i="6"/>
  <c r="D222" i="6"/>
  <c r="D223" i="6"/>
  <c r="D224" i="6"/>
  <c r="D225" i="6"/>
  <c r="D226" i="6"/>
  <c r="D227" i="6"/>
  <c r="D228" i="6"/>
  <c r="D229" i="6"/>
  <c r="D230" i="6"/>
  <c r="D231" i="6"/>
  <c r="D232" i="6"/>
  <c r="D233" i="6"/>
  <c r="D234" i="6"/>
  <c r="D235" i="6"/>
  <c r="D236" i="6"/>
  <c r="D237" i="6"/>
  <c r="D238" i="6"/>
  <c r="D239" i="6"/>
  <c r="D240" i="6"/>
  <c r="D241" i="6"/>
  <c r="D242" i="6"/>
  <c r="D243" i="6"/>
  <c r="D244" i="6"/>
  <c r="D245" i="6"/>
  <c r="D246" i="6"/>
  <c r="D247" i="6"/>
  <c r="D248" i="6"/>
  <c r="D249" i="6"/>
  <c r="D250" i="6"/>
  <c r="D251" i="6"/>
  <c r="D252" i="6"/>
  <c r="D253" i="6"/>
  <c r="D254" i="6"/>
  <c r="D255" i="6"/>
  <c r="D256" i="6"/>
  <c r="D257" i="6"/>
  <c r="D258" i="6"/>
  <c r="D259" i="6"/>
  <c r="D260" i="6"/>
  <c r="D261" i="6"/>
  <c r="D262" i="6"/>
  <c r="D263" i="6"/>
  <c r="D264" i="6"/>
  <c r="D265" i="6"/>
  <c r="D266" i="6"/>
  <c r="D267" i="6"/>
  <c r="D268" i="6"/>
  <c r="D269" i="6"/>
  <c r="D270" i="6"/>
  <c r="D271" i="6"/>
  <c r="D272" i="6"/>
  <c r="D273" i="6"/>
  <c r="D274" i="6"/>
  <c r="D275" i="6"/>
  <c r="D276" i="6"/>
  <c r="D277" i="6"/>
  <c r="D278" i="6"/>
  <c r="D279" i="6"/>
  <c r="D280" i="6"/>
  <c r="D281" i="6"/>
  <c r="D282" i="6"/>
  <c r="D283" i="6"/>
  <c r="D284" i="6"/>
  <c r="D285" i="6"/>
  <c r="D286" i="6"/>
  <c r="D287" i="6"/>
  <c r="D288" i="6"/>
  <c r="D289" i="6"/>
  <c r="D290" i="6"/>
  <c r="D291" i="6"/>
  <c r="D292" i="6"/>
  <c r="D293" i="6"/>
  <c r="D294" i="6"/>
  <c r="D295" i="6"/>
  <c r="D296" i="6"/>
  <c r="D297" i="6"/>
  <c r="D298" i="6"/>
  <c r="D299" i="6"/>
  <c r="D300" i="6"/>
  <c r="D301" i="6"/>
  <c r="D302" i="6"/>
  <c r="D303" i="6"/>
  <c r="D304" i="6"/>
  <c r="D305" i="6"/>
  <c r="D306" i="6"/>
  <c r="D307" i="6"/>
  <c r="D308" i="6"/>
  <c r="D309" i="6"/>
  <c r="D310" i="6"/>
  <c r="D311" i="6"/>
  <c r="D312" i="6"/>
  <c r="D313" i="6"/>
  <c r="D314" i="6"/>
  <c r="D315" i="6"/>
  <c r="D316" i="6"/>
  <c r="D317" i="6"/>
  <c r="D318" i="6"/>
  <c r="D319" i="6"/>
  <c r="D320" i="6"/>
  <c r="D321" i="6"/>
  <c r="D322" i="6"/>
  <c r="D323" i="6"/>
  <c r="D324" i="6"/>
  <c r="D325" i="6"/>
  <c r="D326" i="6"/>
  <c r="D327" i="6"/>
  <c r="D328" i="6"/>
  <c r="D329" i="6"/>
  <c r="D330" i="6"/>
  <c r="D331" i="6"/>
  <c r="D332" i="6"/>
  <c r="D333" i="6"/>
  <c r="D334" i="6"/>
  <c r="D335" i="6"/>
  <c r="D336" i="6"/>
  <c r="D337" i="6"/>
  <c r="D338" i="6"/>
  <c r="D339" i="6"/>
  <c r="D340" i="6"/>
  <c r="D341" i="6"/>
  <c r="D342" i="6"/>
  <c r="D343" i="6"/>
  <c r="D344" i="6"/>
  <c r="D345" i="6"/>
  <c r="D346" i="6"/>
  <c r="D347" i="6"/>
  <c r="D348" i="6"/>
  <c r="D349" i="6"/>
  <c r="D350" i="6"/>
  <c r="D351" i="6"/>
  <c r="D352" i="6"/>
  <c r="D353" i="6"/>
  <c r="D354" i="6"/>
  <c r="D355" i="6"/>
  <c r="D356" i="6"/>
  <c r="D357" i="6"/>
  <c r="D358" i="6"/>
  <c r="D359" i="6"/>
  <c r="D360" i="6"/>
  <c r="D361" i="6"/>
  <c r="D362" i="6"/>
  <c r="D363" i="6"/>
  <c r="D364" i="6"/>
  <c r="D365" i="6"/>
  <c r="D366" i="6"/>
  <c r="D367" i="6"/>
  <c r="D368" i="6"/>
  <c r="D369" i="6"/>
  <c r="D370" i="6"/>
  <c r="D371" i="6"/>
  <c r="D372" i="6"/>
  <c r="D373" i="6"/>
  <c r="D374" i="6"/>
  <c r="D375" i="6"/>
  <c r="D376" i="6"/>
  <c r="D377" i="6"/>
  <c r="D378" i="6"/>
  <c r="D379" i="6"/>
  <c r="D380" i="6"/>
  <c r="D381" i="6"/>
  <c r="D382" i="6"/>
  <c r="D383" i="6"/>
  <c r="D384" i="6"/>
  <c r="D385" i="6"/>
  <c r="D386" i="6"/>
  <c r="D387" i="6"/>
  <c r="D388" i="6"/>
  <c r="D389" i="6"/>
  <c r="D390" i="6"/>
  <c r="D391" i="6"/>
  <c r="D392" i="6"/>
  <c r="D393" i="6"/>
  <c r="D394" i="6"/>
  <c r="D395" i="6"/>
  <c r="D396" i="6"/>
  <c r="D397" i="6"/>
  <c r="D398" i="6"/>
  <c r="D399" i="6"/>
  <c r="D400" i="6"/>
  <c r="D401" i="6"/>
  <c r="D402" i="6"/>
  <c r="D403" i="6"/>
  <c r="D404" i="6"/>
  <c r="D405" i="6"/>
  <c r="D406" i="6"/>
  <c r="D407" i="6"/>
  <c r="D408" i="6"/>
  <c r="D409" i="6"/>
  <c r="D410" i="6"/>
  <c r="D411" i="6"/>
  <c r="D412" i="6"/>
  <c r="D413" i="6"/>
  <c r="D414" i="6"/>
  <c r="D415" i="6"/>
  <c r="D416" i="6"/>
  <c r="D417" i="6"/>
  <c r="D418" i="6"/>
  <c r="D419" i="6"/>
  <c r="D420" i="6"/>
  <c r="D421" i="6"/>
  <c r="D422" i="6"/>
  <c r="D423" i="6"/>
  <c r="D424" i="6"/>
  <c r="D425" i="6"/>
  <c r="D426" i="6"/>
  <c r="D427" i="6"/>
  <c r="D428" i="6"/>
  <c r="D429" i="6"/>
  <c r="D430" i="6"/>
  <c r="D431" i="6"/>
  <c r="D432" i="6"/>
  <c r="D433" i="6"/>
  <c r="D434" i="6"/>
  <c r="D435" i="6"/>
  <c r="D436" i="6"/>
  <c r="D437" i="6"/>
  <c r="D438" i="6"/>
  <c r="D439" i="6"/>
  <c r="D440" i="6"/>
  <c r="D441" i="6"/>
  <c r="D442" i="6"/>
  <c r="D443" i="6"/>
  <c r="D444" i="6"/>
  <c r="D445" i="6"/>
  <c r="D446" i="6"/>
  <c r="D447" i="6"/>
  <c r="D448" i="6"/>
  <c r="D449" i="6"/>
  <c r="D450" i="6"/>
  <c r="D451" i="6"/>
  <c r="D452" i="6"/>
  <c r="D453" i="6"/>
  <c r="D454" i="6"/>
  <c r="D455" i="6"/>
  <c r="D456" i="6"/>
  <c r="D457" i="6"/>
  <c r="D458" i="6"/>
  <c r="D459" i="6"/>
  <c r="D460" i="6"/>
  <c r="D461" i="6"/>
  <c r="D462" i="6"/>
  <c r="D463" i="6"/>
  <c r="D464" i="6"/>
  <c r="D465" i="6"/>
  <c r="D466" i="6"/>
  <c r="D467" i="6"/>
  <c r="D468" i="6"/>
  <c r="D469" i="6"/>
  <c r="D470" i="6"/>
  <c r="D471" i="6"/>
  <c r="D472" i="6"/>
  <c r="D473" i="6"/>
  <c r="D474" i="6"/>
  <c r="D475" i="6"/>
  <c r="D476" i="6"/>
  <c r="D477" i="6"/>
  <c r="D478" i="6"/>
  <c r="D479" i="6"/>
  <c r="D480" i="6"/>
  <c r="D481" i="6"/>
  <c r="D482" i="6"/>
  <c r="D483" i="6"/>
  <c r="D484" i="6"/>
  <c r="D485" i="6"/>
  <c r="D486" i="6"/>
  <c r="D487" i="6"/>
  <c r="D488" i="6"/>
  <c r="D489" i="6"/>
  <c r="D490" i="6"/>
  <c r="D491" i="6"/>
  <c r="D492" i="6"/>
  <c r="D493" i="6"/>
  <c r="D494" i="6"/>
  <c r="D495" i="6"/>
  <c r="D496" i="6"/>
  <c r="D497" i="6"/>
  <c r="D498" i="6"/>
  <c r="D499" i="6"/>
  <c r="D500" i="6"/>
  <c r="D501" i="6"/>
  <c r="D502" i="6"/>
  <c r="D503" i="6"/>
  <c r="D504" i="6"/>
  <c r="D505" i="6"/>
  <c r="D506" i="6"/>
  <c r="D507" i="6"/>
  <c r="D508" i="6"/>
  <c r="D509" i="6"/>
  <c r="D510" i="6"/>
  <c r="D511" i="6"/>
  <c r="D512" i="6"/>
  <c r="D513" i="6"/>
  <c r="D514" i="6"/>
  <c r="D515" i="6"/>
  <c r="D516" i="6"/>
  <c r="D517" i="6"/>
  <c r="D518" i="6"/>
  <c r="D519" i="6"/>
  <c r="D520" i="6"/>
  <c r="D521" i="6"/>
  <c r="D522" i="6"/>
  <c r="D523" i="6"/>
  <c r="D524" i="6"/>
  <c r="D525" i="6"/>
  <c r="D526" i="6"/>
  <c r="D527" i="6"/>
  <c r="D528" i="6"/>
  <c r="D529" i="6"/>
  <c r="D530" i="6"/>
  <c r="D531" i="6"/>
  <c r="D532" i="6"/>
  <c r="D533" i="6"/>
  <c r="D534" i="6"/>
  <c r="D535" i="6"/>
  <c r="D536" i="6"/>
  <c r="D537" i="6"/>
  <c r="D538" i="6"/>
  <c r="D539" i="6"/>
  <c r="D540" i="6"/>
  <c r="D541" i="6"/>
  <c r="D542" i="6"/>
  <c r="D543" i="6"/>
  <c r="D544" i="6"/>
  <c r="D545" i="6"/>
  <c r="D546" i="6"/>
  <c r="D547" i="6"/>
  <c r="D548" i="6"/>
  <c r="D549" i="6"/>
  <c r="D550" i="6"/>
  <c r="D551" i="6"/>
  <c r="D552" i="6"/>
  <c r="D553" i="6"/>
  <c r="D554" i="6"/>
  <c r="D555" i="6"/>
  <c r="D556" i="6"/>
  <c r="D557" i="6"/>
  <c r="D558" i="6"/>
  <c r="D559" i="6"/>
  <c r="D560" i="6"/>
  <c r="D561" i="6"/>
  <c r="D562" i="6"/>
  <c r="D563" i="6"/>
  <c r="D564" i="6"/>
  <c r="D565" i="6"/>
  <c r="D566" i="6"/>
  <c r="D567" i="6"/>
  <c r="D568" i="6"/>
  <c r="D569" i="6"/>
  <c r="D570" i="6"/>
  <c r="D571" i="6"/>
  <c r="D572" i="6"/>
  <c r="D573" i="6"/>
  <c r="D574" i="6"/>
  <c r="D575" i="6"/>
  <c r="D576" i="6"/>
  <c r="D577" i="6"/>
  <c r="D578" i="6"/>
  <c r="D579" i="6"/>
  <c r="D580" i="6"/>
  <c r="D581" i="6"/>
  <c r="D582" i="6"/>
  <c r="D583" i="6"/>
  <c r="D584" i="6"/>
  <c r="D585" i="6"/>
  <c r="D586" i="6"/>
  <c r="D587" i="6"/>
  <c r="D588" i="6"/>
  <c r="D589" i="6"/>
  <c r="D590" i="6"/>
  <c r="D591" i="6"/>
  <c r="D592" i="6"/>
  <c r="D593" i="6"/>
  <c r="D594" i="6"/>
  <c r="D595" i="6"/>
  <c r="D596" i="6"/>
  <c r="D597" i="6"/>
  <c r="D598" i="6"/>
  <c r="D599" i="6"/>
  <c r="D600" i="6"/>
  <c r="D601" i="6"/>
  <c r="D602" i="6"/>
  <c r="D603" i="6"/>
  <c r="D604" i="6"/>
  <c r="D605" i="6"/>
  <c r="D606" i="6"/>
  <c r="D607" i="6"/>
  <c r="D608" i="6"/>
  <c r="D609" i="6"/>
  <c r="D610" i="6"/>
  <c r="D611" i="6"/>
  <c r="D612" i="6"/>
  <c r="D613" i="6"/>
  <c r="D614" i="6"/>
  <c r="D615" i="6"/>
  <c r="D616" i="6"/>
  <c r="D617" i="6"/>
  <c r="D618" i="6"/>
  <c r="D619" i="6"/>
  <c r="D620" i="6"/>
  <c r="D621" i="6"/>
  <c r="D622" i="6"/>
  <c r="D623" i="6"/>
  <c r="D624" i="6"/>
  <c r="D625" i="6"/>
  <c r="D626" i="6"/>
  <c r="D627" i="6"/>
  <c r="D628" i="6"/>
  <c r="D629" i="6"/>
  <c r="D630" i="6"/>
  <c r="D631" i="6"/>
  <c r="D632" i="6"/>
  <c r="D633" i="6"/>
  <c r="D634" i="6"/>
  <c r="D635" i="6"/>
  <c r="D636" i="6"/>
  <c r="D637" i="6"/>
  <c r="D638" i="6"/>
  <c r="D639" i="6"/>
  <c r="D640" i="6"/>
  <c r="D641" i="6"/>
  <c r="D642" i="6"/>
  <c r="D643" i="6"/>
  <c r="D644" i="6"/>
  <c r="D645" i="6"/>
  <c r="D646" i="6"/>
  <c r="D647" i="6"/>
  <c r="D648" i="6"/>
  <c r="D649" i="6"/>
  <c r="D650" i="6"/>
  <c r="D651" i="6"/>
  <c r="D652" i="6"/>
  <c r="D653" i="6"/>
  <c r="D654" i="6"/>
  <c r="D655" i="6"/>
  <c r="D656" i="6"/>
  <c r="D657" i="6"/>
  <c r="D658" i="6"/>
  <c r="D659" i="6"/>
  <c r="D660" i="6"/>
  <c r="D661" i="6"/>
  <c r="D662" i="6"/>
  <c r="D663" i="6"/>
  <c r="D664" i="6"/>
  <c r="D665" i="6"/>
  <c r="D666" i="6"/>
  <c r="D667" i="6"/>
  <c r="D668" i="6"/>
  <c r="D669" i="6"/>
  <c r="D670" i="6"/>
  <c r="D671" i="6"/>
  <c r="D672" i="6"/>
  <c r="D673" i="6"/>
  <c r="D674" i="6"/>
  <c r="D675" i="6"/>
  <c r="D676" i="6"/>
  <c r="D677" i="6"/>
  <c r="D678" i="6"/>
  <c r="D679" i="6"/>
  <c r="D680" i="6"/>
  <c r="D681" i="6"/>
  <c r="D682" i="6"/>
  <c r="D683" i="6"/>
  <c r="D684" i="6"/>
  <c r="D685" i="6"/>
  <c r="D686" i="6"/>
  <c r="D687" i="6"/>
  <c r="D688" i="6"/>
  <c r="D689" i="6"/>
  <c r="D690" i="6"/>
  <c r="D691" i="6"/>
  <c r="D692" i="6"/>
  <c r="D693" i="6"/>
  <c r="D694" i="6"/>
  <c r="D695" i="6"/>
  <c r="D696" i="6"/>
  <c r="D697" i="6"/>
  <c r="D698" i="6"/>
  <c r="D699" i="6"/>
  <c r="D700" i="6"/>
  <c r="D701" i="6"/>
  <c r="D702" i="6"/>
  <c r="D703" i="6"/>
  <c r="D704" i="6"/>
  <c r="D705" i="6"/>
  <c r="D706" i="6"/>
  <c r="D707" i="6"/>
  <c r="D708" i="6"/>
  <c r="D709" i="6"/>
  <c r="D710" i="6"/>
  <c r="D711" i="6"/>
  <c r="D712" i="6"/>
  <c r="D713" i="6"/>
  <c r="D714" i="6"/>
  <c r="D715" i="6"/>
  <c r="D716" i="6"/>
  <c r="D717" i="6"/>
  <c r="D718" i="6"/>
  <c r="D719" i="6"/>
  <c r="D720" i="6"/>
  <c r="D721" i="6"/>
  <c r="D722" i="6"/>
  <c r="D723" i="6"/>
  <c r="D724" i="6"/>
  <c r="D725" i="6"/>
  <c r="D726" i="6"/>
  <c r="D727" i="6"/>
  <c r="D728" i="6"/>
  <c r="D729" i="6"/>
  <c r="D730" i="6"/>
  <c r="D731" i="6"/>
  <c r="D732" i="6"/>
  <c r="D733" i="6"/>
  <c r="D734" i="6"/>
  <c r="D735" i="6"/>
  <c r="D736" i="6"/>
  <c r="D737" i="6"/>
  <c r="D738" i="6"/>
  <c r="D739" i="6"/>
  <c r="D740" i="6"/>
  <c r="D741" i="6"/>
  <c r="D742" i="6"/>
  <c r="D743" i="6"/>
  <c r="D744" i="6"/>
  <c r="D745" i="6"/>
  <c r="D746" i="6"/>
  <c r="D747" i="6"/>
  <c r="D748" i="6"/>
  <c r="D749" i="6"/>
  <c r="D750" i="6"/>
  <c r="D751" i="6"/>
  <c r="D752" i="6"/>
  <c r="D753" i="6"/>
  <c r="D754" i="6"/>
  <c r="D755" i="6"/>
  <c r="D756" i="6"/>
  <c r="D757" i="6"/>
  <c r="D758" i="6"/>
  <c r="D759" i="6"/>
  <c r="D760" i="6"/>
  <c r="D761" i="6"/>
  <c r="D762" i="6"/>
  <c r="D763" i="6"/>
  <c r="D764" i="6"/>
  <c r="D765" i="6"/>
  <c r="D766" i="6"/>
  <c r="D767" i="6"/>
  <c r="D768" i="6"/>
  <c r="D769" i="6"/>
  <c r="D770" i="6"/>
  <c r="D771" i="6"/>
  <c r="D772" i="6"/>
  <c r="D773" i="6"/>
  <c r="D774" i="6"/>
  <c r="D775" i="6"/>
  <c r="D776" i="6"/>
  <c r="D777" i="6"/>
  <c r="D778" i="6"/>
  <c r="D779" i="6"/>
  <c r="D780" i="6"/>
  <c r="D781" i="6"/>
  <c r="D782" i="6"/>
  <c r="D783" i="6"/>
  <c r="D784" i="6"/>
  <c r="D785" i="6"/>
  <c r="D786" i="6"/>
  <c r="D787" i="6"/>
  <c r="D788" i="6"/>
  <c r="D789" i="6"/>
  <c r="D790" i="6"/>
  <c r="D791" i="6"/>
  <c r="D792" i="6"/>
  <c r="D793" i="6"/>
  <c r="D794" i="6"/>
  <c r="D795" i="6"/>
  <c r="D796" i="6"/>
  <c r="D797" i="6"/>
  <c r="D798" i="6"/>
  <c r="D799" i="6"/>
  <c r="D800" i="6"/>
  <c r="D801" i="6"/>
  <c r="D802" i="6"/>
  <c r="D803" i="6"/>
  <c r="D804" i="6"/>
  <c r="D805" i="6"/>
  <c r="D806" i="6"/>
  <c r="D807" i="6"/>
  <c r="D808" i="6"/>
  <c r="D809" i="6"/>
  <c r="D810" i="6"/>
  <c r="D811" i="6"/>
  <c r="D812" i="6"/>
  <c r="D813" i="6"/>
  <c r="D814" i="6"/>
  <c r="D815" i="6"/>
  <c r="D816" i="6"/>
  <c r="D817" i="6"/>
  <c r="D818" i="6"/>
  <c r="D819" i="6"/>
  <c r="D820" i="6"/>
  <c r="D821" i="6"/>
  <c r="D822" i="6"/>
  <c r="D823" i="6"/>
  <c r="D824" i="6"/>
  <c r="D825" i="6"/>
  <c r="D826" i="6"/>
  <c r="D827" i="6"/>
  <c r="D828" i="6"/>
  <c r="D829" i="6"/>
  <c r="D830" i="6"/>
  <c r="D831" i="6"/>
  <c r="D832" i="6"/>
  <c r="D833" i="6"/>
  <c r="D834" i="6"/>
  <c r="D835" i="6"/>
  <c r="D836" i="6"/>
  <c r="D837" i="6"/>
  <c r="D838" i="6"/>
  <c r="D839" i="6"/>
  <c r="D840" i="6"/>
  <c r="D841" i="6"/>
  <c r="D842" i="6"/>
  <c r="D843" i="6"/>
  <c r="D844" i="6"/>
  <c r="D845" i="6"/>
  <c r="D846" i="6"/>
  <c r="D847" i="6"/>
  <c r="D848" i="6"/>
  <c r="D849" i="6"/>
  <c r="D850" i="6"/>
  <c r="D851" i="6"/>
  <c r="D852" i="6"/>
  <c r="D853" i="6"/>
  <c r="D854" i="6"/>
  <c r="D855" i="6"/>
  <c r="D856" i="6"/>
  <c r="D857" i="6"/>
  <c r="D858" i="6"/>
  <c r="D859" i="6"/>
  <c r="D860" i="6"/>
  <c r="D861" i="6"/>
  <c r="D862" i="6"/>
  <c r="D863" i="6"/>
  <c r="D864" i="6"/>
  <c r="D865" i="6"/>
  <c r="D866" i="6"/>
  <c r="D867" i="6"/>
  <c r="D868" i="6"/>
  <c r="D869" i="6"/>
  <c r="D870" i="6"/>
  <c r="D871" i="6"/>
  <c r="D872" i="6"/>
  <c r="D873" i="6"/>
  <c r="D874" i="6"/>
  <c r="D875" i="6"/>
  <c r="D876" i="6"/>
  <c r="D877" i="6"/>
  <c r="D878" i="6"/>
  <c r="D879" i="6"/>
  <c r="D880" i="6"/>
  <c r="D881" i="6"/>
  <c r="D882" i="6"/>
  <c r="D883" i="6"/>
  <c r="D884" i="6"/>
  <c r="D885" i="6"/>
  <c r="D886" i="6"/>
  <c r="D887" i="6"/>
  <c r="D888" i="6"/>
  <c r="D889" i="6"/>
  <c r="D890" i="6"/>
  <c r="D891" i="6"/>
  <c r="D892" i="6"/>
  <c r="D893" i="6"/>
  <c r="D894" i="6"/>
  <c r="D895" i="6"/>
  <c r="D896" i="6"/>
  <c r="D897" i="6"/>
  <c r="D898" i="6"/>
  <c r="D899" i="6"/>
  <c r="D900" i="6"/>
  <c r="D901" i="6"/>
  <c r="D902" i="6"/>
  <c r="D903" i="6"/>
  <c r="D904" i="6"/>
  <c r="D905" i="6"/>
  <c r="D906" i="6"/>
  <c r="D907" i="6"/>
  <c r="D908" i="6"/>
  <c r="D909" i="6"/>
  <c r="D910" i="6"/>
  <c r="D911" i="6"/>
  <c r="D912" i="6"/>
  <c r="D913" i="6"/>
  <c r="D914" i="6"/>
  <c r="D915" i="6"/>
  <c r="D916" i="6"/>
  <c r="D917" i="6"/>
  <c r="D918" i="6"/>
  <c r="D919" i="6"/>
  <c r="D920" i="6"/>
  <c r="D921" i="6"/>
  <c r="D922" i="6"/>
  <c r="D923" i="6"/>
  <c r="D924" i="6"/>
  <c r="D925" i="6"/>
  <c r="D926" i="6"/>
  <c r="D927" i="6"/>
  <c r="D928" i="6"/>
  <c r="D929" i="6"/>
  <c r="D930" i="6"/>
  <c r="D931" i="6"/>
  <c r="D932" i="6"/>
  <c r="D933" i="6"/>
  <c r="D934" i="6"/>
  <c r="D935" i="6"/>
  <c r="D936" i="6"/>
  <c r="D937" i="6"/>
  <c r="D938" i="6"/>
  <c r="D939" i="6"/>
  <c r="D940" i="6"/>
  <c r="D941" i="6"/>
  <c r="D942" i="6"/>
  <c r="D943" i="6"/>
  <c r="D944" i="6"/>
  <c r="D945" i="6"/>
  <c r="D946" i="6"/>
  <c r="D947" i="6"/>
  <c r="D948" i="6"/>
  <c r="D949" i="6"/>
  <c r="D950" i="6"/>
  <c r="D951" i="6"/>
  <c r="D952" i="6"/>
  <c r="D953" i="6"/>
  <c r="D954" i="6"/>
  <c r="D955" i="6"/>
  <c r="D956" i="6"/>
  <c r="D957" i="6"/>
  <c r="D958" i="6"/>
  <c r="D959" i="6"/>
  <c r="D960" i="6"/>
  <c r="D961" i="6"/>
  <c r="D962" i="6"/>
  <c r="D963" i="6"/>
  <c r="D964" i="6"/>
  <c r="D965" i="6"/>
  <c r="D966" i="6"/>
  <c r="D967" i="6"/>
  <c r="D968" i="6"/>
  <c r="D969" i="6"/>
  <c r="D970" i="6"/>
  <c r="D971" i="6"/>
  <c r="D972" i="6"/>
  <c r="D973" i="6"/>
  <c r="D974" i="6"/>
  <c r="D975" i="6"/>
  <c r="D976" i="6"/>
  <c r="D977" i="6"/>
  <c r="D978" i="6"/>
  <c r="D979" i="6"/>
  <c r="D980" i="6"/>
  <c r="D981" i="6"/>
  <c r="D982" i="6"/>
  <c r="D983" i="6"/>
  <c r="D984" i="6"/>
  <c r="D985" i="6"/>
  <c r="D986" i="6"/>
  <c r="D987" i="6"/>
  <c r="D988" i="6"/>
  <c r="D989" i="6"/>
  <c r="D990" i="6"/>
  <c r="D991" i="6"/>
  <c r="D992" i="6"/>
  <c r="D993" i="6"/>
  <c r="D994" i="6"/>
  <c r="D995" i="6"/>
  <c r="D996" i="6"/>
  <c r="D997" i="6"/>
  <c r="D998" i="6"/>
  <c r="D999" i="6"/>
  <c r="D1000" i="6"/>
  <c r="D1001" i="6"/>
  <c r="D1002" i="6"/>
  <c r="D1003" i="6"/>
  <c r="D1004" i="6"/>
  <c r="D1005" i="6"/>
  <c r="D1006" i="6"/>
  <c r="D1007" i="6"/>
  <c r="D1008" i="6"/>
  <c r="D1009" i="6"/>
  <c r="D1010" i="6"/>
  <c r="D1011" i="6"/>
  <c r="D1012" i="6"/>
  <c r="D1013" i="6"/>
  <c r="D1014" i="6"/>
  <c r="D1015" i="6"/>
  <c r="D1016" i="6"/>
  <c r="D1017" i="6"/>
  <c r="D1018" i="6"/>
  <c r="D1019" i="6"/>
  <c r="D1020" i="6"/>
  <c r="D1021" i="6"/>
  <c r="D1022" i="6"/>
  <c r="D1023" i="6"/>
  <c r="D1024" i="6"/>
  <c r="D1025" i="6"/>
  <c r="D1026" i="6"/>
  <c r="D1027" i="6"/>
  <c r="D1028" i="6"/>
  <c r="D1029" i="6"/>
  <c r="D1030" i="6"/>
  <c r="D1031" i="6"/>
  <c r="D1032" i="6"/>
  <c r="D1033" i="6"/>
  <c r="D1034" i="6"/>
  <c r="D1035" i="6"/>
  <c r="D1036" i="6"/>
  <c r="D1037" i="6"/>
  <c r="D1038" i="6"/>
  <c r="D1039" i="6"/>
  <c r="D1040" i="6"/>
  <c r="D1041" i="6"/>
  <c r="D1042" i="6"/>
  <c r="D1043" i="6"/>
  <c r="D1044" i="6"/>
  <c r="D1045" i="6"/>
  <c r="D1046" i="6"/>
  <c r="D1047" i="6"/>
  <c r="D1048" i="6"/>
  <c r="D1049" i="6"/>
  <c r="D1050" i="6"/>
  <c r="D1051" i="6"/>
  <c r="D1052" i="6"/>
  <c r="D1053" i="6"/>
  <c r="D1054" i="6"/>
  <c r="D1055" i="6"/>
  <c r="D1056" i="6"/>
  <c r="D1057" i="6"/>
  <c r="D1058" i="6"/>
  <c r="D1059" i="6"/>
  <c r="D1060" i="6"/>
  <c r="D1061" i="6"/>
  <c r="D1062" i="6"/>
  <c r="D1063" i="6"/>
  <c r="D1064" i="6"/>
  <c r="D1065" i="6"/>
  <c r="D1066" i="6"/>
  <c r="D1067" i="6"/>
  <c r="D1068" i="6"/>
  <c r="D1069" i="6"/>
  <c r="D1070" i="6"/>
  <c r="D1071" i="6"/>
  <c r="D1072" i="6"/>
  <c r="D1073" i="6"/>
  <c r="D1074" i="6"/>
  <c r="D1075" i="6"/>
  <c r="D1076" i="6"/>
  <c r="D1077" i="6"/>
  <c r="D1078" i="6"/>
  <c r="D1079" i="6"/>
  <c r="D1080" i="6"/>
  <c r="D1081" i="6"/>
  <c r="D1082" i="6"/>
  <c r="D1083" i="6"/>
  <c r="D1084" i="6"/>
  <c r="D1085" i="6"/>
  <c r="D1086" i="6"/>
  <c r="D1087" i="6"/>
  <c r="D1088" i="6"/>
  <c r="D1089" i="6"/>
  <c r="D1090" i="6"/>
  <c r="D1091" i="6"/>
  <c r="D1092" i="6"/>
  <c r="D1093" i="6"/>
  <c r="D1094" i="6"/>
  <c r="D1095" i="6"/>
  <c r="D1096" i="6"/>
  <c r="D1097" i="6"/>
  <c r="D1098" i="6"/>
  <c r="D1099" i="6"/>
  <c r="D1100" i="6"/>
  <c r="D1101" i="6"/>
  <c r="D1102" i="6"/>
  <c r="D1103" i="6"/>
  <c r="D1104" i="6"/>
  <c r="D1105" i="6"/>
  <c r="D1106" i="6"/>
  <c r="D1107" i="6"/>
  <c r="D1108" i="6"/>
  <c r="D1109" i="6"/>
  <c r="D1110" i="6"/>
  <c r="D1111" i="6"/>
  <c r="D1112" i="6"/>
  <c r="D1113" i="6"/>
  <c r="D1114" i="6"/>
  <c r="D1115" i="6"/>
  <c r="D1116" i="6"/>
  <c r="D1117" i="6"/>
  <c r="D1118" i="6"/>
  <c r="D1119" i="6"/>
  <c r="D1120" i="6"/>
  <c r="D1121" i="6"/>
  <c r="D1122" i="6"/>
  <c r="D1123" i="6"/>
  <c r="D1124" i="6"/>
  <c r="D1125" i="6"/>
  <c r="D1126" i="6"/>
  <c r="D1127" i="6"/>
  <c r="D1128" i="6"/>
  <c r="D1129" i="6"/>
  <c r="D1130" i="6"/>
  <c r="D1131" i="6"/>
  <c r="D1132" i="6"/>
  <c r="D1133" i="6"/>
  <c r="D1134" i="6"/>
  <c r="D1135" i="6"/>
  <c r="D1136" i="6"/>
  <c r="D1137" i="6"/>
  <c r="D1138" i="6"/>
  <c r="D1139" i="6"/>
  <c r="D1140" i="6"/>
  <c r="D1141" i="6"/>
  <c r="D1142" i="6"/>
  <c r="D1143" i="6"/>
  <c r="D1144" i="6"/>
  <c r="D1145" i="6"/>
  <c r="D1146" i="6"/>
  <c r="D1147" i="6"/>
  <c r="D1148" i="6"/>
  <c r="D1149" i="6"/>
  <c r="D1150" i="6"/>
  <c r="D1151" i="6"/>
  <c r="D1152" i="6"/>
  <c r="D1153" i="6"/>
  <c r="D1154" i="6"/>
  <c r="D1155" i="6"/>
  <c r="D1156" i="6"/>
  <c r="D1157" i="6"/>
  <c r="D1158" i="6"/>
  <c r="D1159" i="6"/>
  <c r="D1160" i="6"/>
  <c r="D1161" i="6"/>
  <c r="D1162" i="6"/>
  <c r="D1163" i="6"/>
  <c r="D1164" i="6"/>
  <c r="D1165" i="6"/>
  <c r="D1166" i="6"/>
  <c r="D1167" i="6"/>
  <c r="D1168" i="6"/>
  <c r="D1169" i="6"/>
  <c r="D1170" i="6"/>
  <c r="D1171" i="6"/>
  <c r="D1172" i="6"/>
  <c r="D1173" i="6"/>
  <c r="D1174" i="6"/>
  <c r="D1175" i="6"/>
  <c r="D1176" i="6"/>
  <c r="D1177" i="6"/>
  <c r="D1178" i="6"/>
  <c r="D1179" i="6"/>
  <c r="D1180" i="6"/>
  <c r="D1181" i="6"/>
  <c r="D1182" i="6"/>
  <c r="D1183" i="6"/>
  <c r="D1184" i="6"/>
  <c r="D1185" i="6"/>
  <c r="D1186" i="6"/>
  <c r="D1187" i="6"/>
  <c r="D1188" i="6"/>
  <c r="D1189" i="6"/>
  <c r="D1190" i="6"/>
  <c r="D1191" i="6"/>
  <c r="D1192" i="6"/>
  <c r="D1193" i="6"/>
  <c r="D1194" i="6"/>
  <c r="D1195" i="6"/>
  <c r="D1196" i="6"/>
  <c r="D1197" i="6"/>
  <c r="D1198" i="6"/>
  <c r="D1199" i="6"/>
  <c r="D1200" i="6"/>
  <c r="D1201" i="6"/>
  <c r="D2" i="6"/>
  <c r="B3" i="5"/>
  <c r="B4" i="5"/>
  <c r="B5" i="5"/>
  <c r="B6" i="5"/>
  <c r="B7"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483" i="5"/>
  <c r="B484" i="5"/>
  <c r="B485" i="5"/>
  <c r="B486" i="5"/>
  <c r="B487"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B526" i="5"/>
  <c r="B527" i="5"/>
  <c r="B528" i="5"/>
  <c r="B529" i="5"/>
  <c r="B530" i="5"/>
  <c r="B531" i="5"/>
  <c r="B532" i="5"/>
  <c r="B533" i="5"/>
  <c r="B534" i="5"/>
  <c r="B535" i="5"/>
  <c r="B536" i="5"/>
  <c r="B537" i="5"/>
  <c r="B538" i="5"/>
  <c r="B539" i="5"/>
  <c r="B540" i="5"/>
  <c r="B541" i="5"/>
  <c r="B542" i="5"/>
  <c r="B543" i="5"/>
  <c r="B544" i="5"/>
  <c r="B545" i="5"/>
  <c r="B546" i="5"/>
  <c r="B547" i="5"/>
  <c r="B548" i="5"/>
  <c r="B549" i="5"/>
  <c r="B550" i="5"/>
  <c r="B551" i="5"/>
  <c r="B552" i="5"/>
  <c r="B553" i="5"/>
  <c r="B554" i="5"/>
  <c r="B555" i="5"/>
  <c r="B556" i="5"/>
  <c r="B557" i="5"/>
  <c r="B558" i="5"/>
  <c r="B559" i="5"/>
  <c r="B560" i="5"/>
  <c r="B561" i="5"/>
  <c r="B562" i="5"/>
  <c r="B563" i="5"/>
  <c r="B564" i="5"/>
  <c r="B565" i="5"/>
  <c r="B566" i="5"/>
  <c r="B567" i="5"/>
  <c r="B568" i="5"/>
  <c r="B569" i="5"/>
  <c r="B570" i="5"/>
  <c r="B571" i="5"/>
  <c r="B572" i="5"/>
  <c r="B573" i="5"/>
  <c r="B574" i="5"/>
  <c r="B575" i="5"/>
  <c r="B576" i="5"/>
  <c r="B577" i="5"/>
  <c r="B578" i="5"/>
  <c r="B579" i="5"/>
  <c r="B580" i="5"/>
  <c r="B581" i="5"/>
  <c r="B582" i="5"/>
  <c r="B583" i="5"/>
  <c r="B584" i="5"/>
  <c r="B585" i="5"/>
  <c r="B586" i="5"/>
  <c r="B587" i="5"/>
  <c r="B588" i="5"/>
  <c r="B589" i="5"/>
  <c r="B590" i="5"/>
  <c r="B591" i="5"/>
  <c r="B592" i="5"/>
  <c r="B593" i="5"/>
  <c r="B594" i="5"/>
  <c r="B595" i="5"/>
  <c r="B596" i="5"/>
  <c r="B597" i="5"/>
  <c r="B598" i="5"/>
  <c r="B599" i="5"/>
  <c r="B600" i="5"/>
  <c r="B601" i="5"/>
  <c r="B2"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D507" i="5"/>
  <c r="D508" i="5"/>
  <c r="D509" i="5"/>
  <c r="D510" i="5"/>
  <c r="D511" i="5"/>
  <c r="D512" i="5"/>
  <c r="D513" i="5"/>
  <c r="D514" i="5"/>
  <c r="D515" i="5"/>
  <c r="D516" i="5"/>
  <c r="D517" i="5"/>
  <c r="D518" i="5"/>
  <c r="D519" i="5"/>
  <c r="D520" i="5"/>
  <c r="D521" i="5"/>
  <c r="D522" i="5"/>
  <c r="D523" i="5"/>
  <c r="D524" i="5"/>
  <c r="D525" i="5"/>
  <c r="D526" i="5"/>
  <c r="D527" i="5"/>
  <c r="D528" i="5"/>
  <c r="D529" i="5"/>
  <c r="D530" i="5"/>
  <c r="D531" i="5"/>
  <c r="D532" i="5"/>
  <c r="D533" i="5"/>
  <c r="D534" i="5"/>
  <c r="D535" i="5"/>
  <c r="D536" i="5"/>
  <c r="D537" i="5"/>
  <c r="D538" i="5"/>
  <c r="D539" i="5"/>
  <c r="D540" i="5"/>
  <c r="D541" i="5"/>
  <c r="D542" i="5"/>
  <c r="D543" i="5"/>
  <c r="D544" i="5"/>
  <c r="D545" i="5"/>
  <c r="D546" i="5"/>
  <c r="D547" i="5"/>
  <c r="D548" i="5"/>
  <c r="D549" i="5"/>
  <c r="D550" i="5"/>
  <c r="D551" i="5"/>
  <c r="D552" i="5"/>
  <c r="D553" i="5"/>
  <c r="D554" i="5"/>
  <c r="D555" i="5"/>
  <c r="D556" i="5"/>
  <c r="D557" i="5"/>
  <c r="D558" i="5"/>
  <c r="D559" i="5"/>
  <c r="D560" i="5"/>
  <c r="D561" i="5"/>
  <c r="D562" i="5"/>
  <c r="D563" i="5"/>
  <c r="D564" i="5"/>
  <c r="D565" i="5"/>
  <c r="D566" i="5"/>
  <c r="D567" i="5"/>
  <c r="D568" i="5"/>
  <c r="D569" i="5"/>
  <c r="D570" i="5"/>
  <c r="D571" i="5"/>
  <c r="D572" i="5"/>
  <c r="D573" i="5"/>
  <c r="D574" i="5"/>
  <c r="D575" i="5"/>
  <c r="D576" i="5"/>
  <c r="D577" i="5"/>
  <c r="D578" i="5"/>
  <c r="D579" i="5"/>
  <c r="D580" i="5"/>
  <c r="D581" i="5"/>
  <c r="D582" i="5"/>
  <c r="D583" i="5"/>
  <c r="D584" i="5"/>
  <c r="D585" i="5"/>
  <c r="D586" i="5"/>
  <c r="D587" i="5"/>
  <c r="D588" i="5"/>
  <c r="D589" i="5"/>
  <c r="D590" i="5"/>
  <c r="D591" i="5"/>
  <c r="D592" i="5"/>
  <c r="D593" i="5"/>
  <c r="D594" i="5"/>
  <c r="D595" i="5"/>
  <c r="D596" i="5"/>
  <c r="D597" i="5"/>
  <c r="D598" i="5"/>
  <c r="D599" i="5"/>
  <c r="D600" i="5"/>
  <c r="D601"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2"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dim_date" type="6" refreshedVersion="4" background="1" saveData="1">
    <textPr codePage="437" sourceFile="D:\C3 Input_for_Participants\dim_date.csv" comma="1">
      <textFields count="4">
        <textField/>
        <textField/>
        <textField/>
        <textField/>
      </textFields>
    </textPr>
  </connection>
  <connection id="2" xr16:uid="{00000000-0015-0000-FFFF-FFFF01000000}" name="dim_date1" type="6" refreshedVersion="4" background="1" saveData="1">
    <textPr codePage="437" sourceFile="D:\C3 Input_for_Participants\dim_date.csv" comma="1">
      <textFields count="4">
        <textField/>
        <textField/>
        <textField/>
        <textField/>
      </textFields>
    </textPr>
  </connection>
  <connection id="3" xr16:uid="{00000000-0015-0000-FFFF-FFFF02000000}" name="dim_date2" type="6" refreshedVersion="4" background="1" saveData="1">
    <textPr codePage="437" sourceFile="D:\C3 Input_for_Participants\dim_date.csv" comma="1">
      <textFields count="4">
        <textField/>
        <textField/>
        <textField/>
        <textField/>
      </textFields>
    </textPr>
  </connection>
  <connection id="4" xr16:uid="{00000000-0015-0000-FFFF-FFFF03000000}" name="dim_plan" type="6" refreshedVersion="4" background="1" saveData="1">
    <textPr codePage="437" sourceFile="D:\C3 Input_for_Participants\dim_plan.csv" comma="1">
      <textFields count="2">
        <textField/>
        <textField/>
      </textFields>
    </textPr>
  </connection>
  <connection id="5" xr16:uid="{00000000-0015-0000-FFFF-FFFF04000000}" name="fact_plan_revenue" type="6" refreshedVersion="4" background="1" saveData="1">
    <textPr codePage="437" sourceFile="D:\C3 Input_for_Participants\fact_plan_revenue.csv" comma="1">
      <textFields count="4">
        <textField/>
        <textField/>
        <textField/>
        <textField/>
      </textFields>
    </textPr>
  </connection>
</connections>
</file>

<file path=xl/sharedStrings.xml><?xml version="1.0" encoding="utf-8"?>
<sst xmlns="http://schemas.openxmlformats.org/spreadsheetml/2006/main" count="2521" uniqueCount="108">
  <si>
    <t>date</t>
  </si>
  <si>
    <t>month_name</t>
  </si>
  <si>
    <t>before/after_5g</t>
  </si>
  <si>
    <t>time_period</t>
  </si>
  <si>
    <t>Jan</t>
  </si>
  <si>
    <t>Before 5G</t>
  </si>
  <si>
    <t>Feb</t>
  </si>
  <si>
    <t>Mar</t>
  </si>
  <si>
    <t>Apr</t>
  </si>
  <si>
    <t>Jun</t>
  </si>
  <si>
    <t>After 5G</t>
  </si>
  <si>
    <t>Jul</t>
  </si>
  <si>
    <t>Aug</t>
  </si>
  <si>
    <t>Sep</t>
  </si>
  <si>
    <t>plan</t>
  </si>
  <si>
    <t>plan_description</t>
  </si>
  <si>
    <t>p1</t>
  </si>
  <si>
    <t>Smart Recharge Pack (2 GB / Day Combo For 3 months)</t>
  </si>
  <si>
    <t>p2</t>
  </si>
  <si>
    <t>Super Saviour Pack (1.5 GB / Day Combo For 56 days)</t>
  </si>
  <si>
    <t>p3</t>
  </si>
  <si>
    <t>Elite saver Pack (1 GB/ Day) Valid: 28 Days</t>
  </si>
  <si>
    <t>p4</t>
  </si>
  <si>
    <t>Mini Data Saver Pack (500 MB/ Day) Valid: 20 Days</t>
  </si>
  <si>
    <t>p5</t>
  </si>
  <si>
    <t>Rs. 99 Full Talktime Combo Pack</t>
  </si>
  <si>
    <t>p6</t>
  </si>
  <si>
    <t>Xstream Mobile Data Pack: 15GB Data | 28 days</t>
  </si>
  <si>
    <t>p7</t>
  </si>
  <si>
    <t>25 GB Combo 3G / 4G Data Pack</t>
  </si>
  <si>
    <t>p8</t>
  </si>
  <si>
    <t>Daily Saviour (1 GB / Day) validity: 1 Day</t>
  </si>
  <si>
    <t>p9</t>
  </si>
  <si>
    <t>Combo TopUp: 14.95 Talktime and 300 MB data</t>
  </si>
  <si>
    <t>p10</t>
  </si>
  <si>
    <t>Big Combo Pack (6 GB / Day) validity: 3 Days</t>
  </si>
  <si>
    <t>p11</t>
  </si>
  <si>
    <t>Ultra Fast Mega Pack (3GB / Day Combo For 80 days)</t>
  </si>
  <si>
    <t>p12</t>
  </si>
  <si>
    <t>Ultra Duo Data Pack (1.8GB / Day Combo For 55 days )</t>
  </si>
  <si>
    <t>p13</t>
  </si>
  <si>
    <t>Mini Ultra Saver Pack (750 MB/Day for 28 Days)</t>
  </si>
  <si>
    <t>5g</t>
  </si>
  <si>
    <t>city_code</t>
  </si>
  <si>
    <t>CITY</t>
  </si>
  <si>
    <t>company</t>
  </si>
  <si>
    <t>atliqo_revenue_crores</t>
  </si>
  <si>
    <t>arpu</t>
  </si>
  <si>
    <t>active_users_lakhs</t>
  </si>
  <si>
    <t>unsubscribed_users_lakhs</t>
  </si>
  <si>
    <t>Column1</t>
  </si>
  <si>
    <t>Column2</t>
  </si>
  <si>
    <t>Column3</t>
  </si>
  <si>
    <t>Column4</t>
  </si>
  <si>
    <t>Column5</t>
  </si>
  <si>
    <t>Column6</t>
  </si>
  <si>
    <t>Column7</t>
  </si>
  <si>
    <t>city_code2</t>
  </si>
  <si>
    <t>city_name</t>
  </si>
  <si>
    <t>Column8</t>
  </si>
  <si>
    <t>Column9</t>
  </si>
  <si>
    <t>Column10</t>
  </si>
  <si>
    <t>Column11</t>
  </si>
  <si>
    <t>Column12</t>
  </si>
  <si>
    <t>Column13</t>
  </si>
  <si>
    <t>Mumbai</t>
  </si>
  <si>
    <t>Atliqo</t>
  </si>
  <si>
    <t>Delhi</t>
  </si>
  <si>
    <t>Kolkata</t>
  </si>
  <si>
    <t>Bangalore</t>
  </si>
  <si>
    <t>Chennai</t>
  </si>
  <si>
    <t>Hyderabad</t>
  </si>
  <si>
    <t>Pune</t>
  </si>
  <si>
    <t>Ahmedabad</t>
  </si>
  <si>
    <t>Jaipur</t>
  </si>
  <si>
    <t>Lucknow</t>
  </si>
  <si>
    <t>Patna</t>
  </si>
  <si>
    <t>Coimbatore</t>
  </si>
  <si>
    <t>Chandigarh</t>
  </si>
  <si>
    <t>Gurgaon</t>
  </si>
  <si>
    <t>Raipur</t>
  </si>
  <si>
    <t>5G</t>
  </si>
  <si>
    <t>tmv_city_crores</t>
  </si>
  <si>
    <t>ms_pct</t>
  </si>
  <si>
    <t>Britel</t>
  </si>
  <si>
    <t>PIO</t>
  </si>
  <si>
    <t>DADAFONE</t>
  </si>
  <si>
    <t>Others</t>
  </si>
  <si>
    <t>plans</t>
  </si>
  <si>
    <t>plan_revenue_crores</t>
  </si>
  <si>
    <t>(All)</t>
  </si>
  <si>
    <t>Row Labels</t>
  </si>
  <si>
    <t>Sum of active_users_lakhs</t>
  </si>
  <si>
    <t>Sum of unsubscribed_users_lakhs</t>
  </si>
  <si>
    <t>Grand Total</t>
  </si>
  <si>
    <t>Average of arpu</t>
  </si>
  <si>
    <t>Sum of atliqo_revenue_crores</t>
  </si>
  <si>
    <t>Average of atliqo_revenue_crores</t>
  </si>
  <si>
    <t>Column Labels</t>
  </si>
  <si>
    <t>Sum of arpu</t>
  </si>
  <si>
    <t>Sum of ms_pct</t>
  </si>
  <si>
    <t>Sum of tmv_city_crores</t>
  </si>
  <si>
    <t>Sum of plan_revenue_crores</t>
  </si>
  <si>
    <t>LARGE($Q$7:$Q$19;R7)</t>
  </si>
  <si>
    <t>AVERAGE OF ARPU</t>
  </si>
  <si>
    <t>TOTAL UNSUBSCRIBED USERS IN LAKHS</t>
  </si>
  <si>
    <t>TOTAL ACTIVE USERS IN LAKHS</t>
  </si>
  <si>
    <t>TOTAL REVENUE IN CRORES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</si>
</sst>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theme="6" tint="0.39997558519241921"/>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8"/>
      </left>
      <right/>
      <top style="thin">
        <color indexed="8"/>
      </top>
      <bottom/>
      <diagonal/>
    </border>
    <border>
      <left style="thin">
        <color indexed="65"/>
      </left>
      <right/>
      <top style="thin">
        <color indexed="8"/>
      </top>
      <bottom/>
      <diagonal/>
    </border>
    <border>
      <left style="thin">
        <color indexed="65"/>
      </left>
      <right style="thin">
        <color indexed="8"/>
      </right>
      <top style="thin">
        <color indexed="8"/>
      </top>
      <bottom/>
      <diagonal/>
    </border>
    <border>
      <left style="thin">
        <color indexed="8"/>
      </left>
      <right/>
      <top style="thin">
        <color indexed="65"/>
      </top>
      <bottom/>
      <diagonal/>
    </border>
    <border>
      <left style="thin">
        <color indexed="65"/>
      </left>
      <right/>
      <top style="thin">
        <color indexed="65"/>
      </top>
      <bottom/>
      <diagonal/>
    </border>
    <border>
      <left style="thin">
        <color indexed="65"/>
      </left>
      <right style="thin">
        <color indexed="8"/>
      </right>
      <top style="thin">
        <color indexed="65"/>
      </top>
      <bottom/>
      <diagonal/>
    </border>
    <border>
      <left style="thin">
        <color indexed="8"/>
      </left>
      <right/>
      <top style="thin">
        <color indexed="65"/>
      </top>
      <bottom style="thin">
        <color indexed="8"/>
      </bottom>
      <diagonal/>
    </border>
    <border>
      <left style="thin">
        <color indexed="65"/>
      </left>
      <right/>
      <top style="thin">
        <color indexed="65"/>
      </top>
      <bottom style="thin">
        <color indexed="8"/>
      </bottom>
      <diagonal/>
    </border>
    <border>
      <left style="thin">
        <color indexed="65"/>
      </left>
      <right style="thin">
        <color indexed="8"/>
      </right>
      <top style="thin">
        <color indexed="65"/>
      </top>
      <bottom style="thin">
        <color indexed="8"/>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30">
    <xf numFmtId="0" fontId="0" fillId="0" borderId="0" xfId="0"/>
    <xf numFmtId="15"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15" fontId="0" fillId="0" borderId="0" xfId="0" applyNumberFormat="1" applyAlignment="1">
      <alignment horizontal="left"/>
    </xf>
    <xf numFmtId="0" fontId="0" fillId="0" borderId="0" xfId="0" quotePrefix="1"/>
    <xf numFmtId="0" fontId="0" fillId="33" borderId="0" xfId="0" applyFill="1"/>
    <xf numFmtId="0" fontId="18" fillId="33" borderId="0" xfId="0" applyFont="1" applyFill="1"/>
    <xf numFmtId="0" fontId="18" fillId="33" borderId="10" xfId="0" applyFont="1" applyFill="1" applyBorder="1"/>
    <xf numFmtId="0" fontId="18" fillId="33" borderId="11" xfId="0" applyFont="1" applyFill="1" applyBorder="1"/>
    <xf numFmtId="0" fontId="18" fillId="33" borderId="12" xfId="0" applyFont="1" applyFill="1" applyBorder="1"/>
    <xf numFmtId="0" fontId="18" fillId="33" borderId="13" xfId="0" applyFont="1" applyFill="1" applyBorder="1"/>
    <xf numFmtId="0" fontId="18" fillId="33" borderId="15" xfId="0" applyFont="1" applyFill="1" applyBorder="1"/>
    <xf numFmtId="0" fontId="18" fillId="33" borderId="14" xfId="0" applyFont="1" applyFill="1" applyBorder="1"/>
    <xf numFmtId="0" fontId="0" fillId="33" borderId="16" xfId="0" applyFill="1" applyBorder="1"/>
    <xf numFmtId="0" fontId="0" fillId="33" borderId="17" xfId="0" applyFill="1" applyBorder="1"/>
    <xf numFmtId="0" fontId="0" fillId="33" borderId="18" xfId="0" applyFill="1" applyBorder="1"/>
    <xf numFmtId="0" fontId="0" fillId="33" borderId="19" xfId="0" applyFill="1" applyBorder="1"/>
    <xf numFmtId="0" fontId="0" fillId="33" borderId="20" xfId="0" applyFill="1" applyBorder="1"/>
    <xf numFmtId="0" fontId="0" fillId="33" borderId="21" xfId="0" applyFill="1" applyBorder="1"/>
    <xf numFmtId="15" fontId="0" fillId="33" borderId="0" xfId="0" applyNumberFormat="1" applyFill="1" applyAlignment="1">
      <alignment horizontal="left"/>
    </xf>
    <xf numFmtId="0" fontId="0" fillId="33" borderId="0" xfId="0" applyFill="1" applyAlignment="1">
      <alignment horizontal="left"/>
    </xf>
    <xf numFmtId="0" fontId="0" fillId="33" borderId="22" xfId="0" applyFill="1" applyBorder="1"/>
    <xf numFmtId="0" fontId="0" fillId="33" borderId="23" xfId="0" applyFill="1" applyBorder="1"/>
    <xf numFmtId="0" fontId="0" fillId="33" borderId="24" xfId="0" applyFill="1" applyBorder="1"/>
    <xf numFmtId="0" fontId="18" fillId="33" borderId="10" xfId="0" applyFont="1" applyFill="1" applyBorder="1" applyAlignment="1">
      <alignment horizontal="center"/>
    </xf>
    <xf numFmtId="0" fontId="18" fillId="33" borderId="12" xfId="0" applyFont="1" applyFill="1" applyBorder="1" applyAlignment="1">
      <alignment horizontal="center"/>
    </xf>
    <xf numFmtId="0" fontId="0" fillId="33" borderId="0" xfId="0" applyNumberFormat="1"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
    <dxf>
      <fill>
        <patternFill>
          <bgColor theme="1"/>
        </patternFill>
      </fill>
    </dxf>
    <dxf>
      <fill>
        <patternFill>
          <bgColor theme="1"/>
        </patternFill>
      </fill>
    </dxf>
    <dxf>
      <fill>
        <patternFill>
          <bgColor theme="1"/>
        </patternFill>
      </fill>
    </dxf>
  </dxfs>
  <tableStyles count="0" defaultTableStyle="TableStyleMedium2" defaultPivotStyle="PivotStyleLight16"/>
  <colors>
    <mruColors>
      <color rgb="FFD31594"/>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microsoft.com/office/2007/relationships/slicerCache" Target="slicerCaches/slicerCache9.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microsoft.com/office/2007/relationships/slicerCache" Target="slicerCaches/slicerCache8.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microsoft.com/office/2007/relationships/slicerCache" Target="slicerCaches/slicerCache3.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7.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microsoft.com/office/2007/relationships/slicerCache" Target="slicerCaches/slicerCache6.xml"/><Relationship Id="rId28" Type="http://schemas.openxmlformats.org/officeDocument/2006/relationships/connections" Target="connections.xml"/><Relationship Id="rId10" Type="http://schemas.openxmlformats.org/officeDocument/2006/relationships/worksheet" Target="worksheets/sheet10.xml"/><Relationship Id="rId19" Type="http://schemas.microsoft.com/office/2007/relationships/slicerCache" Target="slicerCaches/slicerCache2.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microsoft.com/office/2007/relationships/slicerCache" Target="slicerCaches/slicerCache5.xml"/><Relationship Id="rId27" Type="http://schemas.openxmlformats.org/officeDocument/2006/relationships/theme" Target="theme/theme1.xml"/><Relationship Id="rId30" Type="http://schemas.openxmlformats.org/officeDocument/2006/relationships/sharedStrings" Target="sharedStrings.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1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5G.xlsm]Sheet7!PivotTable2</c:name>
    <c:fmtId val="0"/>
  </c:pivotSource>
  <c:chart>
    <c:title>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Sheet7!$B$4</c:f>
              <c:strCache>
                <c:ptCount val="1"/>
                <c:pt idx="0">
                  <c:v>Total</c:v>
                </c:pt>
              </c:strCache>
            </c:strRef>
          </c:tx>
          <c:invertIfNegative val="0"/>
          <c:cat>
            <c:strRef>
              <c:f>Sheet7!$A$5:$A$6</c:f>
              <c:strCache>
                <c:ptCount val="1"/>
                <c:pt idx="0">
                  <c:v>01-Sep-22</c:v>
                </c:pt>
              </c:strCache>
            </c:strRef>
          </c:cat>
          <c:val>
            <c:numRef>
              <c:f>Sheet7!$B$5:$B$6</c:f>
              <c:numCache>
                <c:formatCode>General</c:formatCode>
                <c:ptCount val="1"/>
                <c:pt idx="0">
                  <c:v>16.78</c:v>
                </c:pt>
              </c:numCache>
            </c:numRef>
          </c:val>
          <c:extLst>
            <c:ext xmlns:c16="http://schemas.microsoft.com/office/drawing/2014/chart" uri="{C3380CC4-5D6E-409C-BE32-E72D297353CC}">
              <c16:uniqueId val="{00000000-B84D-46DF-89F9-06AD4C6E34FC}"/>
            </c:ext>
          </c:extLst>
        </c:ser>
        <c:dLbls>
          <c:showLegendKey val="0"/>
          <c:showVal val="0"/>
          <c:showCatName val="0"/>
          <c:showSerName val="0"/>
          <c:showPercent val="0"/>
          <c:showBubbleSize val="0"/>
        </c:dLbls>
        <c:gapWidth val="150"/>
        <c:axId val="192418560"/>
        <c:axId val="192420096"/>
      </c:barChart>
      <c:catAx>
        <c:axId val="192418560"/>
        <c:scaling>
          <c:orientation val="minMax"/>
        </c:scaling>
        <c:delete val="0"/>
        <c:axPos val="b"/>
        <c:numFmt formatCode="General" sourceLinked="0"/>
        <c:majorTickMark val="out"/>
        <c:minorTickMark val="none"/>
        <c:tickLblPos val="nextTo"/>
        <c:crossAx val="192420096"/>
        <c:crosses val="autoZero"/>
        <c:auto val="1"/>
        <c:lblAlgn val="ctr"/>
        <c:lblOffset val="100"/>
        <c:noMultiLvlLbl val="0"/>
      </c:catAx>
      <c:valAx>
        <c:axId val="192420096"/>
        <c:scaling>
          <c:orientation val="minMax"/>
        </c:scaling>
        <c:delete val="0"/>
        <c:axPos val="l"/>
        <c:majorGridlines/>
        <c:numFmt formatCode="General" sourceLinked="1"/>
        <c:majorTickMark val="out"/>
        <c:minorTickMark val="none"/>
        <c:tickLblPos val="nextTo"/>
        <c:crossAx val="192418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Data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5G.xlsm]Sheet7!PivotTable3</c:name>
    <c:fmtId val="0"/>
  </c:pivotSource>
  <c:chart>
    <c:autoTitleDeleted val="0"/>
    <c:pivotFmts>
      <c:pivotFmt>
        <c:idx val="0"/>
        <c:marker>
          <c:symbol val="none"/>
        </c:marker>
      </c:pivotFmt>
      <c:pivotFmt>
        <c:idx val="1"/>
        <c:marker>
          <c:symbol val="none"/>
        </c:marker>
        <c:dLbl>
          <c:idx val="0"/>
          <c:delete val="1"/>
          <c:extLst>
            <c:ext xmlns:c15="http://schemas.microsoft.com/office/drawing/2012/chart" uri="{CE6537A1-D6FC-4f65-9D91-7224C49458BB}"/>
          </c:extLst>
        </c:dLbl>
      </c:pivotFmt>
      <c:pivotFmt>
        <c:idx val="2"/>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Sheet7!$B$88:$B$89</c:f>
              <c:strCache>
                <c:ptCount val="1"/>
                <c:pt idx="0">
                  <c:v>01-Sep-22</c:v>
                </c:pt>
              </c:strCache>
            </c:strRef>
          </c:tx>
          <c:invertIfNegative val="0"/>
          <c:cat>
            <c:strRef>
              <c:f>Sheet7!$A$90:$A$91</c:f>
              <c:strCache>
                <c:ptCount val="1"/>
                <c:pt idx="0">
                  <c:v>Chennai</c:v>
                </c:pt>
              </c:strCache>
            </c:strRef>
          </c:cat>
          <c:val>
            <c:numRef>
              <c:f>Sheet7!$B$90:$B$91</c:f>
              <c:numCache>
                <c:formatCode>General</c:formatCode>
                <c:ptCount val="1"/>
                <c:pt idx="0">
                  <c:v>16.78</c:v>
                </c:pt>
              </c:numCache>
            </c:numRef>
          </c:val>
          <c:extLst>
            <c:ext xmlns:c16="http://schemas.microsoft.com/office/drawing/2014/chart" uri="{C3380CC4-5D6E-409C-BE32-E72D297353CC}">
              <c16:uniqueId val="{00000000-8493-4E72-8E2A-8E9E78260FA2}"/>
            </c:ext>
          </c:extLst>
        </c:ser>
        <c:dLbls>
          <c:showLegendKey val="0"/>
          <c:showVal val="0"/>
          <c:showCatName val="0"/>
          <c:showSerName val="0"/>
          <c:showPercent val="0"/>
          <c:showBubbleSize val="0"/>
        </c:dLbls>
        <c:gapWidth val="150"/>
        <c:axId val="192757760"/>
        <c:axId val="192759296"/>
      </c:barChart>
      <c:catAx>
        <c:axId val="192757760"/>
        <c:scaling>
          <c:orientation val="minMax"/>
        </c:scaling>
        <c:delete val="0"/>
        <c:axPos val="b"/>
        <c:numFmt formatCode="General" sourceLinked="0"/>
        <c:majorTickMark val="out"/>
        <c:minorTickMark val="none"/>
        <c:tickLblPos val="nextTo"/>
        <c:crossAx val="192759296"/>
        <c:crosses val="autoZero"/>
        <c:auto val="1"/>
        <c:lblAlgn val="ctr"/>
        <c:lblOffset val="100"/>
        <c:noMultiLvlLbl val="0"/>
      </c:catAx>
      <c:valAx>
        <c:axId val="192759296"/>
        <c:scaling>
          <c:orientation val="minMax"/>
        </c:scaling>
        <c:delete val="0"/>
        <c:axPos val="l"/>
        <c:majorGridlines/>
        <c:numFmt formatCode="General" sourceLinked="1"/>
        <c:majorTickMark val="out"/>
        <c:minorTickMark val="none"/>
        <c:tickLblPos val="nextTo"/>
        <c:crossAx val="1927577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5G.xlsm]Sheet7!PivotTable5</c:name>
    <c:fmtId val="0"/>
  </c:pivotSource>
  <c:chart>
    <c:autoTitleDeleted val="0"/>
    <c:pivotFmts>
      <c:pivotFmt>
        <c:idx val="0"/>
        <c:marker>
          <c:symbol val="none"/>
        </c:marker>
      </c:pivotFmt>
      <c:pivotFmt>
        <c:idx val="1"/>
        <c:marker>
          <c:symbol val="none"/>
        </c:marker>
        <c:dLbl>
          <c:idx val="0"/>
          <c:delete val="1"/>
          <c:extLst>
            <c:ext xmlns:c15="http://schemas.microsoft.com/office/drawing/2012/chart" uri="{CE6537A1-D6FC-4f65-9D91-7224C49458BB}"/>
          </c:extLst>
        </c:dLbl>
      </c:pivotFmt>
      <c:pivotFmt>
        <c:idx val="2"/>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Sheet7!$B$108:$B$109</c:f>
              <c:strCache>
                <c:ptCount val="1"/>
                <c:pt idx="0">
                  <c:v>01-Sep-22</c:v>
                </c:pt>
              </c:strCache>
            </c:strRef>
          </c:tx>
          <c:invertIfNegative val="0"/>
          <c:cat>
            <c:strRef>
              <c:f>Sheet7!$A$110:$A$111</c:f>
              <c:strCache>
                <c:ptCount val="1"/>
                <c:pt idx="0">
                  <c:v>Chennai</c:v>
                </c:pt>
              </c:strCache>
            </c:strRef>
          </c:cat>
          <c:val>
            <c:numRef>
              <c:f>Sheet7!$B$110:$B$111</c:f>
              <c:numCache>
                <c:formatCode>General</c:formatCode>
                <c:ptCount val="1"/>
                <c:pt idx="0">
                  <c:v>1.73</c:v>
                </c:pt>
              </c:numCache>
            </c:numRef>
          </c:val>
          <c:extLst>
            <c:ext xmlns:c16="http://schemas.microsoft.com/office/drawing/2014/chart" uri="{C3380CC4-5D6E-409C-BE32-E72D297353CC}">
              <c16:uniqueId val="{00000000-4513-4001-8754-2719CFDD96C4}"/>
            </c:ext>
          </c:extLst>
        </c:ser>
        <c:dLbls>
          <c:showLegendKey val="0"/>
          <c:showVal val="0"/>
          <c:showCatName val="0"/>
          <c:showSerName val="0"/>
          <c:showPercent val="0"/>
          <c:showBubbleSize val="0"/>
        </c:dLbls>
        <c:gapWidth val="150"/>
        <c:axId val="192813696"/>
        <c:axId val="192827776"/>
      </c:barChart>
      <c:catAx>
        <c:axId val="192813696"/>
        <c:scaling>
          <c:orientation val="minMax"/>
        </c:scaling>
        <c:delete val="0"/>
        <c:axPos val="b"/>
        <c:numFmt formatCode="General" sourceLinked="0"/>
        <c:majorTickMark val="out"/>
        <c:minorTickMark val="none"/>
        <c:tickLblPos val="nextTo"/>
        <c:crossAx val="192827776"/>
        <c:crosses val="autoZero"/>
        <c:auto val="1"/>
        <c:lblAlgn val="ctr"/>
        <c:lblOffset val="100"/>
        <c:noMultiLvlLbl val="0"/>
      </c:catAx>
      <c:valAx>
        <c:axId val="192827776"/>
        <c:scaling>
          <c:orientation val="minMax"/>
        </c:scaling>
        <c:delete val="0"/>
        <c:axPos val="l"/>
        <c:majorGridlines/>
        <c:numFmt formatCode="General" sourceLinked="1"/>
        <c:majorTickMark val="out"/>
        <c:minorTickMark val="none"/>
        <c:tickLblPos val="nextTo"/>
        <c:crossAx val="1928136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5G.xlsm]Sheet7!PivotTable1</c:name>
    <c:fmtId val="0"/>
  </c:pivotSource>
  <c:chart>
    <c:title>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Sheet7!$B$127</c:f>
              <c:strCache>
                <c:ptCount val="1"/>
                <c:pt idx="0">
                  <c:v>Total</c:v>
                </c:pt>
              </c:strCache>
            </c:strRef>
          </c:tx>
          <c:invertIfNegative val="0"/>
          <c:cat>
            <c:strRef>
              <c:f>Sheet7!$A$128:$A$129</c:f>
              <c:strCache>
                <c:ptCount val="1"/>
                <c:pt idx="0">
                  <c:v>01-Sep-22</c:v>
                </c:pt>
              </c:strCache>
            </c:strRef>
          </c:cat>
          <c:val>
            <c:numRef>
              <c:f>Sheet7!$B$128:$B$129</c:f>
              <c:numCache>
                <c:formatCode>General</c:formatCode>
                <c:ptCount val="1"/>
                <c:pt idx="0">
                  <c:v>1.73</c:v>
                </c:pt>
              </c:numCache>
            </c:numRef>
          </c:val>
          <c:extLst>
            <c:ext xmlns:c16="http://schemas.microsoft.com/office/drawing/2014/chart" uri="{C3380CC4-5D6E-409C-BE32-E72D297353CC}">
              <c16:uniqueId val="{00000000-6182-4708-9F54-946229636F01}"/>
            </c:ext>
          </c:extLst>
        </c:ser>
        <c:dLbls>
          <c:showLegendKey val="0"/>
          <c:showVal val="0"/>
          <c:showCatName val="0"/>
          <c:showSerName val="0"/>
          <c:showPercent val="0"/>
          <c:showBubbleSize val="0"/>
        </c:dLbls>
        <c:gapWidth val="150"/>
        <c:axId val="192847872"/>
        <c:axId val="192849408"/>
      </c:barChart>
      <c:catAx>
        <c:axId val="192847872"/>
        <c:scaling>
          <c:orientation val="minMax"/>
        </c:scaling>
        <c:delete val="0"/>
        <c:axPos val="b"/>
        <c:numFmt formatCode="General" sourceLinked="0"/>
        <c:majorTickMark val="out"/>
        <c:minorTickMark val="none"/>
        <c:tickLblPos val="nextTo"/>
        <c:crossAx val="192849408"/>
        <c:crosses val="autoZero"/>
        <c:auto val="1"/>
        <c:lblAlgn val="ctr"/>
        <c:lblOffset val="100"/>
        <c:noMultiLvlLbl val="0"/>
      </c:catAx>
      <c:valAx>
        <c:axId val="192849408"/>
        <c:scaling>
          <c:orientation val="minMax"/>
        </c:scaling>
        <c:delete val="0"/>
        <c:axPos val="l"/>
        <c:majorGridlines/>
        <c:numFmt formatCode="General" sourceLinked="1"/>
        <c:majorTickMark val="out"/>
        <c:minorTickMark val="none"/>
        <c:tickLblPos val="nextTo"/>
        <c:crossAx val="1928478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5G.xlsm]Sheet7!PivotTable8</c:name>
    <c:fmtId val="0"/>
  </c:pivotSource>
  <c:chart>
    <c:title>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dLbl>
          <c:idx val="0"/>
          <c:delete val="1"/>
          <c:extLst>
            <c:ext xmlns:c15="http://schemas.microsoft.com/office/drawing/2012/chart" uri="{CE6537A1-D6FC-4f65-9D91-7224C49458BB}"/>
          </c:extLst>
        </c:dLbl>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dLbl>
          <c:idx val="0"/>
          <c:delete val="1"/>
          <c:extLst>
            <c:ext xmlns:c15="http://schemas.microsoft.com/office/drawing/2012/chart" uri="{CE6537A1-D6FC-4f65-9D91-7224C49458BB}"/>
          </c:extLst>
        </c:dLbl>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s>
    <c:plotArea>
      <c:layout/>
      <c:lineChart>
        <c:grouping val="standard"/>
        <c:varyColors val="0"/>
        <c:ser>
          <c:idx val="0"/>
          <c:order val="0"/>
          <c:tx>
            <c:strRef>
              <c:f>Sheet7!$I$126:$I$127</c:f>
              <c:strCache>
                <c:ptCount val="1"/>
                <c:pt idx="0">
                  <c:v>Chennai</c:v>
                </c:pt>
              </c:strCache>
            </c:strRef>
          </c:tx>
          <c:marker>
            <c:symbol val="none"/>
          </c:marker>
          <c:cat>
            <c:strRef>
              <c:f>Sheet7!$H$128:$H$136</c:f>
              <c:strCache>
                <c:ptCount val="8"/>
                <c:pt idx="0">
                  <c:v>01-Jan-22</c:v>
                </c:pt>
                <c:pt idx="1">
                  <c:v>01-Feb-22</c:v>
                </c:pt>
                <c:pt idx="2">
                  <c:v>01-Mar-22</c:v>
                </c:pt>
                <c:pt idx="3">
                  <c:v>01-Apr-22</c:v>
                </c:pt>
                <c:pt idx="4">
                  <c:v>01-Jun-22</c:v>
                </c:pt>
                <c:pt idx="5">
                  <c:v>01-Jul-22</c:v>
                </c:pt>
                <c:pt idx="6">
                  <c:v>01-Aug-22</c:v>
                </c:pt>
                <c:pt idx="7">
                  <c:v>01-Sep-22</c:v>
                </c:pt>
              </c:strCache>
            </c:strRef>
          </c:cat>
          <c:val>
            <c:numRef>
              <c:f>Sheet7!$I$128:$I$136</c:f>
              <c:numCache>
                <c:formatCode>General</c:formatCode>
                <c:ptCount val="8"/>
                <c:pt idx="0">
                  <c:v>30.8</c:v>
                </c:pt>
                <c:pt idx="1">
                  <c:v>55.9</c:v>
                </c:pt>
                <c:pt idx="2">
                  <c:v>30.5</c:v>
                </c:pt>
                <c:pt idx="3">
                  <c:v>32.93</c:v>
                </c:pt>
                <c:pt idx="4">
                  <c:v>30.55</c:v>
                </c:pt>
                <c:pt idx="5">
                  <c:v>53.87</c:v>
                </c:pt>
                <c:pt idx="6">
                  <c:v>30.27</c:v>
                </c:pt>
                <c:pt idx="7">
                  <c:v>31.55</c:v>
                </c:pt>
              </c:numCache>
            </c:numRef>
          </c:val>
          <c:smooth val="0"/>
          <c:extLst>
            <c:ext xmlns:c16="http://schemas.microsoft.com/office/drawing/2014/chart" uri="{C3380CC4-5D6E-409C-BE32-E72D297353CC}">
              <c16:uniqueId val="{00000000-C694-4878-BA5A-8CF3CBF32678}"/>
            </c:ext>
          </c:extLst>
        </c:ser>
        <c:dLbls>
          <c:showLegendKey val="0"/>
          <c:showVal val="0"/>
          <c:showCatName val="0"/>
          <c:showSerName val="0"/>
          <c:showPercent val="0"/>
          <c:showBubbleSize val="0"/>
        </c:dLbls>
        <c:smooth val="0"/>
        <c:axId val="192871424"/>
        <c:axId val="192905984"/>
      </c:lineChart>
      <c:catAx>
        <c:axId val="192871424"/>
        <c:scaling>
          <c:orientation val="minMax"/>
        </c:scaling>
        <c:delete val="0"/>
        <c:axPos val="b"/>
        <c:numFmt formatCode="General" sourceLinked="0"/>
        <c:majorTickMark val="out"/>
        <c:minorTickMark val="none"/>
        <c:tickLblPos val="nextTo"/>
        <c:crossAx val="192905984"/>
        <c:crosses val="autoZero"/>
        <c:auto val="1"/>
        <c:lblAlgn val="ctr"/>
        <c:lblOffset val="100"/>
        <c:noMultiLvlLbl val="0"/>
      </c:catAx>
      <c:valAx>
        <c:axId val="192905984"/>
        <c:scaling>
          <c:orientation val="minMax"/>
        </c:scaling>
        <c:delete val="0"/>
        <c:axPos val="l"/>
        <c:majorGridlines/>
        <c:numFmt formatCode="General" sourceLinked="1"/>
        <c:majorTickMark val="out"/>
        <c:minorTickMark val="none"/>
        <c:tickLblPos val="nextTo"/>
        <c:crossAx val="19287142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5G.xlsm]Sheet7!PivotTable9</c:name>
    <c:fmtId val="0"/>
  </c:pivotSource>
  <c:chart>
    <c:title>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dLbl>
          <c:idx val="0"/>
          <c:delete val="1"/>
          <c:extLst>
            <c:ext xmlns:c15="http://schemas.microsoft.com/office/drawing/2012/chart" uri="{CE6537A1-D6FC-4f65-9D91-7224C49458BB}"/>
          </c:extLst>
        </c:dLbl>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dLbl>
          <c:idx val="0"/>
          <c:delete val="1"/>
          <c:extLst>
            <c:ext xmlns:c15="http://schemas.microsoft.com/office/drawing/2012/chart" uri="{CE6537A1-D6FC-4f65-9D91-7224C49458BB}"/>
          </c:extLst>
        </c:dLbl>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s>
    <c:plotArea>
      <c:layout/>
      <c:lineChart>
        <c:grouping val="standard"/>
        <c:varyColors val="0"/>
        <c:ser>
          <c:idx val="0"/>
          <c:order val="0"/>
          <c:tx>
            <c:strRef>
              <c:f>Sheet7!$J$164:$J$165</c:f>
              <c:strCache>
                <c:ptCount val="1"/>
                <c:pt idx="0">
                  <c:v>Chennai</c:v>
                </c:pt>
              </c:strCache>
            </c:strRef>
          </c:tx>
          <c:marker>
            <c:symbol val="none"/>
          </c:marker>
          <c:cat>
            <c:strRef>
              <c:f>Sheet7!$I$166:$I$174</c:f>
              <c:strCache>
                <c:ptCount val="8"/>
                <c:pt idx="0">
                  <c:v>01-Jan-22</c:v>
                </c:pt>
                <c:pt idx="1">
                  <c:v>01-Feb-22</c:v>
                </c:pt>
                <c:pt idx="2">
                  <c:v>01-Mar-22</c:v>
                </c:pt>
                <c:pt idx="3">
                  <c:v>01-Apr-22</c:v>
                </c:pt>
                <c:pt idx="4">
                  <c:v>01-Jun-22</c:v>
                </c:pt>
                <c:pt idx="5">
                  <c:v>01-Jul-22</c:v>
                </c:pt>
                <c:pt idx="6">
                  <c:v>01-Aug-22</c:v>
                </c:pt>
                <c:pt idx="7">
                  <c:v>01-Sep-22</c:v>
                </c:pt>
              </c:strCache>
            </c:strRef>
          </c:cat>
          <c:val>
            <c:numRef>
              <c:f>Sheet7!$J$166:$J$174</c:f>
              <c:numCache>
                <c:formatCode>General</c:formatCode>
                <c:ptCount val="8"/>
                <c:pt idx="0">
                  <c:v>203</c:v>
                </c:pt>
                <c:pt idx="1">
                  <c:v>206</c:v>
                </c:pt>
                <c:pt idx="2">
                  <c:v>211</c:v>
                </c:pt>
                <c:pt idx="3">
                  <c:v>192</c:v>
                </c:pt>
                <c:pt idx="4">
                  <c:v>198</c:v>
                </c:pt>
                <c:pt idx="5">
                  <c:v>196</c:v>
                </c:pt>
                <c:pt idx="6">
                  <c:v>209</c:v>
                </c:pt>
                <c:pt idx="7">
                  <c:v>188</c:v>
                </c:pt>
              </c:numCache>
            </c:numRef>
          </c:val>
          <c:smooth val="0"/>
          <c:extLst>
            <c:ext xmlns:c16="http://schemas.microsoft.com/office/drawing/2014/chart" uri="{C3380CC4-5D6E-409C-BE32-E72D297353CC}">
              <c16:uniqueId val="{00000000-3B26-4E39-95CE-77675100ABDB}"/>
            </c:ext>
          </c:extLst>
        </c:ser>
        <c:dLbls>
          <c:showLegendKey val="0"/>
          <c:showVal val="0"/>
          <c:showCatName val="0"/>
          <c:showSerName val="0"/>
          <c:showPercent val="0"/>
          <c:showBubbleSize val="0"/>
        </c:dLbls>
        <c:smooth val="0"/>
        <c:axId val="192922752"/>
        <c:axId val="192924288"/>
      </c:lineChart>
      <c:catAx>
        <c:axId val="192922752"/>
        <c:scaling>
          <c:orientation val="minMax"/>
        </c:scaling>
        <c:delete val="0"/>
        <c:axPos val="b"/>
        <c:numFmt formatCode="General" sourceLinked="0"/>
        <c:majorTickMark val="out"/>
        <c:minorTickMark val="none"/>
        <c:tickLblPos val="nextTo"/>
        <c:crossAx val="192924288"/>
        <c:crosses val="autoZero"/>
        <c:auto val="1"/>
        <c:lblAlgn val="ctr"/>
        <c:lblOffset val="100"/>
        <c:noMultiLvlLbl val="0"/>
      </c:catAx>
      <c:valAx>
        <c:axId val="192924288"/>
        <c:scaling>
          <c:orientation val="minMax"/>
        </c:scaling>
        <c:delete val="0"/>
        <c:axPos val="l"/>
        <c:majorGridlines/>
        <c:numFmt formatCode="General" sourceLinked="1"/>
        <c:majorTickMark val="out"/>
        <c:minorTickMark val="none"/>
        <c:tickLblPos val="nextTo"/>
        <c:crossAx val="1929227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5G.xlsm]Sheet8!PivotTable17</c:name>
    <c:fmtId val="1"/>
  </c:pivotSource>
  <c:chart>
    <c:title>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dLbl>
          <c:idx val="0"/>
          <c:delete val="1"/>
          <c:extLst>
            <c:ext xmlns:c15="http://schemas.microsoft.com/office/drawing/2012/chart" uri="{CE6537A1-D6FC-4f65-9D91-7224C49458BB}"/>
          </c:extLst>
        </c:dLbl>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dLbl>
          <c:idx val="0"/>
          <c:spPr/>
          <c:txPr>
            <a:bodyPr/>
            <a:lstStyle/>
            <a:p>
              <a:pPr>
                <a:defRPr/>
              </a:pPr>
              <a:endParaRPr lang="en-US"/>
            </a:p>
          </c:txPr>
          <c:showLegendKey val="0"/>
          <c:showVal val="1"/>
          <c:showCatName val="1"/>
          <c:showSerName val="1"/>
          <c:showPercent val="1"/>
          <c:showBubbleSize val="0"/>
          <c:extLst>
            <c:ext xmlns:c15="http://schemas.microsoft.com/office/drawing/2012/chart" uri="{CE6537A1-D6FC-4f65-9D91-7224C49458BB}"/>
          </c:extLst>
        </c:dLbl>
      </c:pivotFmt>
      <c:pivotFmt>
        <c:idx val="13"/>
        <c:marker>
          <c:symbol val="none"/>
        </c:marker>
      </c:pivotFmt>
      <c:pivotFmt>
        <c:idx val="14"/>
        <c:marker>
          <c:symbol val="none"/>
        </c:marker>
      </c:pivotFmt>
    </c:pivotFmts>
    <c:plotArea>
      <c:layout/>
      <c:pieChart>
        <c:varyColors val="1"/>
        <c:ser>
          <c:idx val="0"/>
          <c:order val="0"/>
          <c:tx>
            <c:strRef>
              <c:f>Sheet8!$B$4:$B$5</c:f>
              <c:strCache>
                <c:ptCount val="1"/>
                <c:pt idx="0">
                  <c:v>Hyderabad</c:v>
                </c:pt>
              </c:strCache>
            </c:strRef>
          </c:tx>
          <c:cat>
            <c:strRef>
              <c:f>Sheet8!$A$6:$A$11</c:f>
              <c:strCache>
                <c:ptCount val="5"/>
                <c:pt idx="0">
                  <c:v>Atliqo</c:v>
                </c:pt>
                <c:pt idx="1">
                  <c:v>Britel</c:v>
                </c:pt>
                <c:pt idx="2">
                  <c:v>DADAFONE</c:v>
                </c:pt>
                <c:pt idx="3">
                  <c:v>Others</c:v>
                </c:pt>
                <c:pt idx="4">
                  <c:v>PIO</c:v>
                </c:pt>
              </c:strCache>
            </c:strRef>
          </c:cat>
          <c:val>
            <c:numRef>
              <c:f>Sheet8!$B$6:$B$11</c:f>
              <c:numCache>
                <c:formatCode>General</c:formatCode>
                <c:ptCount val="5"/>
                <c:pt idx="0">
                  <c:v>141.75</c:v>
                </c:pt>
                <c:pt idx="1">
                  <c:v>233.41</c:v>
                </c:pt>
                <c:pt idx="2">
                  <c:v>82.26</c:v>
                </c:pt>
                <c:pt idx="3">
                  <c:v>58.690000000000005</c:v>
                </c:pt>
                <c:pt idx="4">
                  <c:v>283.89</c:v>
                </c:pt>
              </c:numCache>
            </c:numRef>
          </c:val>
          <c:extLst>
            <c:ext xmlns:c16="http://schemas.microsoft.com/office/drawing/2014/chart" uri="{C3380CC4-5D6E-409C-BE32-E72D297353CC}">
              <c16:uniqueId val="{00000000-EA6F-47A0-9665-237F851FE69A}"/>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5G.xlsm]Sheet8!PivotTable18</c:name>
    <c:fmtId val="0"/>
  </c:pivotSource>
  <c:chart>
    <c:title>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Sheet8!$B$27</c:f>
              <c:strCache>
                <c:ptCount val="1"/>
                <c:pt idx="0">
                  <c:v>Total</c:v>
                </c:pt>
              </c:strCache>
            </c:strRef>
          </c:tx>
          <c:invertIfNegative val="0"/>
          <c:cat>
            <c:strRef>
              <c:f>Sheet8!$A$28:$A$29</c:f>
              <c:strCache>
                <c:ptCount val="1"/>
                <c:pt idx="0">
                  <c:v>Hyderabad</c:v>
                </c:pt>
              </c:strCache>
            </c:strRef>
          </c:cat>
          <c:val>
            <c:numRef>
              <c:f>Sheet8!$B$28:$B$29</c:f>
              <c:numCache>
                <c:formatCode>General</c:formatCode>
                <c:ptCount val="1"/>
                <c:pt idx="0">
                  <c:v>6662.9000000000005</c:v>
                </c:pt>
              </c:numCache>
            </c:numRef>
          </c:val>
          <c:extLst>
            <c:ext xmlns:c16="http://schemas.microsoft.com/office/drawing/2014/chart" uri="{C3380CC4-5D6E-409C-BE32-E72D297353CC}">
              <c16:uniqueId val="{00000000-CC1A-4040-A17F-7749FBE320A2}"/>
            </c:ext>
          </c:extLst>
        </c:ser>
        <c:dLbls>
          <c:showLegendKey val="0"/>
          <c:showVal val="0"/>
          <c:showCatName val="0"/>
          <c:showSerName val="0"/>
          <c:showPercent val="0"/>
          <c:showBubbleSize val="0"/>
        </c:dLbls>
        <c:gapWidth val="150"/>
        <c:axId val="192184320"/>
        <c:axId val="192185856"/>
      </c:barChart>
      <c:catAx>
        <c:axId val="192184320"/>
        <c:scaling>
          <c:orientation val="minMax"/>
        </c:scaling>
        <c:delete val="0"/>
        <c:axPos val="b"/>
        <c:numFmt formatCode="General" sourceLinked="0"/>
        <c:majorTickMark val="out"/>
        <c:minorTickMark val="none"/>
        <c:tickLblPos val="nextTo"/>
        <c:crossAx val="192185856"/>
        <c:crosses val="autoZero"/>
        <c:auto val="1"/>
        <c:lblAlgn val="ctr"/>
        <c:lblOffset val="100"/>
        <c:noMultiLvlLbl val="0"/>
      </c:catAx>
      <c:valAx>
        <c:axId val="192185856"/>
        <c:scaling>
          <c:orientation val="minMax"/>
        </c:scaling>
        <c:delete val="0"/>
        <c:axPos val="l"/>
        <c:majorGridlines/>
        <c:numFmt formatCode="General" sourceLinked="1"/>
        <c:majorTickMark val="out"/>
        <c:minorTickMark val="none"/>
        <c:tickLblPos val="nextTo"/>
        <c:crossAx val="19218432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9"/>
    </mc:Choice>
    <mc:Fallback>
      <c:style val="29"/>
    </mc:Fallback>
  </mc:AlternateContent>
  <c:pivotSource>
    <c:name>[PROJECT 5G.xlsm]Sheet7!PivotTable3</c:name>
    <c:fmtId val="2"/>
  </c:pivotSource>
  <c:chart>
    <c:title>
      <c:overlay val="0"/>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dLbl>
          <c:idx val="0"/>
          <c:delete val="1"/>
          <c:extLst>
            <c:ext xmlns:c15="http://schemas.microsoft.com/office/drawing/2012/chart" uri="{CE6537A1-D6FC-4f65-9D91-7224C49458BB}"/>
          </c:extLst>
        </c:dLbl>
      </c:pivotFmt>
      <c:pivotFmt>
        <c:idx val="14"/>
        <c:marker>
          <c:symbol val="none"/>
        </c:marker>
      </c:pivotFmt>
      <c:pivotFmt>
        <c:idx val="15"/>
        <c:marker>
          <c:symbol val="none"/>
        </c:marker>
      </c:pivotFmt>
      <c:pivotFmt>
        <c:idx val="16"/>
        <c:marker>
          <c:symbol val="none"/>
        </c:marker>
        <c:dLbl>
          <c:idx val="0"/>
          <c:delete val="1"/>
          <c:extLst>
            <c:ext xmlns:c15="http://schemas.microsoft.com/office/drawing/2012/chart" uri="{CE6537A1-D6FC-4f65-9D91-7224C49458BB}"/>
          </c:extLst>
        </c:dLbl>
      </c:pivotFmt>
      <c:pivotFmt>
        <c:idx val="17"/>
        <c:marker>
          <c:symbol val="none"/>
        </c:marker>
      </c:pivotFmt>
    </c:pivotFmts>
    <c:plotArea>
      <c:layout>
        <c:manualLayout>
          <c:layoutTarget val="inner"/>
          <c:xMode val="edge"/>
          <c:yMode val="edge"/>
          <c:x val="0.10634392923106833"/>
          <c:y val="0.19954870224555263"/>
          <c:w val="0.69298153520283645"/>
          <c:h val="0.68447142023913676"/>
        </c:manualLayout>
      </c:layout>
      <c:barChart>
        <c:barDir val="col"/>
        <c:grouping val="clustered"/>
        <c:varyColors val="0"/>
        <c:ser>
          <c:idx val="0"/>
          <c:order val="0"/>
          <c:tx>
            <c:strRef>
              <c:f>Sheet7!$B$88:$B$89</c:f>
              <c:strCache>
                <c:ptCount val="1"/>
                <c:pt idx="0">
                  <c:v>01-Sep-22</c:v>
                </c:pt>
              </c:strCache>
            </c:strRef>
          </c:tx>
          <c:invertIfNegative val="0"/>
          <c:cat>
            <c:strRef>
              <c:f>Sheet7!$A$90:$A$91</c:f>
              <c:strCache>
                <c:ptCount val="1"/>
                <c:pt idx="0">
                  <c:v>Chennai</c:v>
                </c:pt>
              </c:strCache>
            </c:strRef>
          </c:cat>
          <c:val>
            <c:numRef>
              <c:f>Sheet7!$B$90:$B$91</c:f>
              <c:numCache>
                <c:formatCode>General</c:formatCode>
                <c:ptCount val="1"/>
                <c:pt idx="0">
                  <c:v>16.78</c:v>
                </c:pt>
              </c:numCache>
            </c:numRef>
          </c:val>
          <c:extLst>
            <c:ext xmlns:c16="http://schemas.microsoft.com/office/drawing/2014/chart" uri="{C3380CC4-5D6E-409C-BE32-E72D297353CC}">
              <c16:uniqueId val="{00000000-1537-4A79-8E55-CA61CB803106}"/>
            </c:ext>
          </c:extLst>
        </c:ser>
        <c:dLbls>
          <c:showLegendKey val="0"/>
          <c:showVal val="0"/>
          <c:showCatName val="0"/>
          <c:showSerName val="0"/>
          <c:showPercent val="0"/>
          <c:showBubbleSize val="0"/>
        </c:dLbls>
        <c:gapWidth val="150"/>
        <c:axId val="193741568"/>
        <c:axId val="193743104"/>
      </c:barChart>
      <c:catAx>
        <c:axId val="193741568"/>
        <c:scaling>
          <c:orientation val="minMax"/>
        </c:scaling>
        <c:delete val="0"/>
        <c:axPos val="b"/>
        <c:numFmt formatCode="General" sourceLinked="0"/>
        <c:majorTickMark val="out"/>
        <c:minorTickMark val="none"/>
        <c:tickLblPos val="nextTo"/>
        <c:crossAx val="193743104"/>
        <c:crosses val="autoZero"/>
        <c:auto val="1"/>
        <c:lblAlgn val="ctr"/>
        <c:lblOffset val="100"/>
        <c:noMultiLvlLbl val="0"/>
      </c:catAx>
      <c:valAx>
        <c:axId val="193743104"/>
        <c:scaling>
          <c:orientation val="minMax"/>
        </c:scaling>
        <c:delete val="0"/>
        <c:axPos val="l"/>
        <c:majorGridlines/>
        <c:numFmt formatCode="General" sourceLinked="1"/>
        <c:majorTickMark val="out"/>
        <c:minorTickMark val="none"/>
        <c:tickLblPos val="nextTo"/>
        <c:crossAx val="1937415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9"/>
    </mc:Choice>
    <mc:Fallback>
      <c:style val="29"/>
    </mc:Fallback>
  </mc:AlternateContent>
  <c:pivotSource>
    <c:name>[PROJECT 5G.xlsm]Sheet7!PivotTable5</c:name>
    <c:fmtId val="2"/>
  </c:pivotSource>
  <c:chart>
    <c:title>
      <c:overlay val="0"/>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dLbl>
          <c:idx val="0"/>
          <c:delete val="1"/>
          <c:extLst>
            <c:ext xmlns:c15="http://schemas.microsoft.com/office/drawing/2012/chart" uri="{CE6537A1-D6FC-4f65-9D91-7224C49458BB}"/>
          </c:extLst>
        </c:dLbl>
      </c:pivotFmt>
      <c:pivotFmt>
        <c:idx val="14"/>
        <c:marker>
          <c:symbol val="none"/>
        </c:marker>
      </c:pivotFmt>
      <c:pivotFmt>
        <c:idx val="15"/>
        <c:marker>
          <c:symbol val="none"/>
        </c:marker>
      </c:pivotFmt>
      <c:pivotFmt>
        <c:idx val="16"/>
        <c:marker>
          <c:symbol val="none"/>
        </c:marker>
        <c:dLbl>
          <c:idx val="0"/>
          <c:delete val="1"/>
          <c:extLst>
            <c:ext xmlns:c15="http://schemas.microsoft.com/office/drawing/2012/chart" uri="{CE6537A1-D6FC-4f65-9D91-7224C49458BB}"/>
          </c:extLst>
        </c:dLbl>
      </c:pivotFmt>
      <c:pivotFmt>
        <c:idx val="17"/>
        <c:marker>
          <c:symbol val="none"/>
        </c:marker>
      </c:pivotFmt>
    </c:pivotFmts>
    <c:plotArea>
      <c:layout>
        <c:manualLayout>
          <c:layoutTarget val="inner"/>
          <c:xMode val="edge"/>
          <c:yMode val="edge"/>
          <c:x val="0.23144063405924836"/>
          <c:y val="0.20568036237031556"/>
          <c:w val="0.50734054838512654"/>
          <c:h val="0.62816126771846859"/>
        </c:manualLayout>
      </c:layout>
      <c:barChart>
        <c:barDir val="col"/>
        <c:grouping val="clustered"/>
        <c:varyColors val="0"/>
        <c:ser>
          <c:idx val="0"/>
          <c:order val="0"/>
          <c:tx>
            <c:strRef>
              <c:f>Sheet7!$B$108:$B$109</c:f>
              <c:strCache>
                <c:ptCount val="1"/>
                <c:pt idx="0">
                  <c:v>01-Sep-22</c:v>
                </c:pt>
              </c:strCache>
            </c:strRef>
          </c:tx>
          <c:invertIfNegative val="0"/>
          <c:cat>
            <c:strRef>
              <c:f>Sheet7!$A$110:$A$111</c:f>
              <c:strCache>
                <c:ptCount val="1"/>
                <c:pt idx="0">
                  <c:v>Chennai</c:v>
                </c:pt>
              </c:strCache>
            </c:strRef>
          </c:cat>
          <c:val>
            <c:numRef>
              <c:f>Sheet7!$B$110:$B$111</c:f>
              <c:numCache>
                <c:formatCode>General</c:formatCode>
                <c:ptCount val="1"/>
                <c:pt idx="0">
                  <c:v>1.73</c:v>
                </c:pt>
              </c:numCache>
            </c:numRef>
          </c:val>
          <c:extLst>
            <c:ext xmlns:c16="http://schemas.microsoft.com/office/drawing/2014/chart" uri="{C3380CC4-5D6E-409C-BE32-E72D297353CC}">
              <c16:uniqueId val="{00000000-912B-4FA9-A801-B378E9E0445F}"/>
            </c:ext>
          </c:extLst>
        </c:ser>
        <c:dLbls>
          <c:showLegendKey val="0"/>
          <c:showVal val="0"/>
          <c:showCatName val="0"/>
          <c:showSerName val="0"/>
          <c:showPercent val="0"/>
          <c:showBubbleSize val="0"/>
        </c:dLbls>
        <c:gapWidth val="150"/>
        <c:axId val="193531904"/>
        <c:axId val="193533440"/>
      </c:barChart>
      <c:catAx>
        <c:axId val="193531904"/>
        <c:scaling>
          <c:orientation val="minMax"/>
        </c:scaling>
        <c:delete val="0"/>
        <c:axPos val="b"/>
        <c:numFmt formatCode="General" sourceLinked="0"/>
        <c:majorTickMark val="out"/>
        <c:minorTickMark val="none"/>
        <c:tickLblPos val="nextTo"/>
        <c:crossAx val="193533440"/>
        <c:crosses val="autoZero"/>
        <c:auto val="1"/>
        <c:lblAlgn val="ctr"/>
        <c:lblOffset val="100"/>
        <c:noMultiLvlLbl val="0"/>
      </c:catAx>
      <c:valAx>
        <c:axId val="193533440"/>
        <c:scaling>
          <c:orientation val="minMax"/>
        </c:scaling>
        <c:delete val="0"/>
        <c:axPos val="l"/>
        <c:majorGridlines/>
        <c:numFmt formatCode="General" sourceLinked="1"/>
        <c:majorTickMark val="out"/>
        <c:minorTickMark val="none"/>
        <c:tickLblPos val="nextTo"/>
        <c:crossAx val="1935319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[PROJECT 5G.xlsm]Sheet7!PivotTable8</c:name>
    <c:fmtId val="3"/>
  </c:pivotSource>
  <c:chart>
    <c:title>
      <c:overlay val="0"/>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dLbl>
          <c:idx val="0"/>
          <c:delete val="1"/>
          <c:extLst>
            <c:ext xmlns:c15="http://schemas.microsoft.com/office/drawing/2012/chart" uri="{CE6537A1-D6FC-4f65-9D91-7224C49458BB}"/>
          </c:extLst>
        </c:dLbl>
      </c:pivotFmt>
      <c:pivotFmt>
        <c:idx val="42"/>
      </c:pivotFmt>
      <c:pivotFmt>
        <c:idx val="43"/>
      </c:pivotFmt>
      <c:pivotFmt>
        <c:idx val="44"/>
      </c:pivotFmt>
      <c:pivotFmt>
        <c:idx val="45"/>
      </c:pivotFmt>
      <c:pivotFmt>
        <c:idx val="46"/>
      </c:pivotFmt>
      <c:pivotFmt>
        <c:idx val="47"/>
        <c:dLbl>
          <c:idx val="0"/>
          <c:delete val="1"/>
          <c:extLst>
            <c:ext xmlns:c15="http://schemas.microsoft.com/office/drawing/2012/chart" uri="{CE6537A1-D6FC-4f65-9D91-7224C49458BB}"/>
          </c:extLst>
        </c:dLbl>
      </c:pivotFmt>
      <c:pivotFmt>
        <c:idx val="48"/>
      </c:pivotFmt>
      <c:pivotFmt>
        <c:idx val="49"/>
      </c:pivotFmt>
      <c:pivotFmt>
        <c:idx val="50"/>
      </c:pivotFmt>
      <c:pivotFmt>
        <c:idx val="51"/>
      </c:pivotFmt>
      <c:pivotFmt>
        <c:idx val="52"/>
      </c:pivotFmt>
    </c:pivotFmts>
    <c:plotArea>
      <c:layout>
        <c:manualLayout>
          <c:layoutTarget val="inner"/>
          <c:xMode val="edge"/>
          <c:yMode val="edge"/>
          <c:x val="0.13268710860350819"/>
          <c:y val="0.31793618186691136"/>
          <c:w val="0.62105977260112866"/>
          <c:h val="0.4238470596416764"/>
        </c:manualLayout>
      </c:layout>
      <c:lineChart>
        <c:grouping val="standard"/>
        <c:varyColors val="0"/>
        <c:ser>
          <c:idx val="0"/>
          <c:order val="0"/>
          <c:tx>
            <c:strRef>
              <c:f>Sheet7!$I$126:$I$127</c:f>
              <c:strCache>
                <c:ptCount val="1"/>
                <c:pt idx="0">
                  <c:v>Chennai</c:v>
                </c:pt>
              </c:strCache>
            </c:strRef>
          </c:tx>
          <c:cat>
            <c:strRef>
              <c:f>Sheet7!$H$128:$H$136</c:f>
              <c:strCache>
                <c:ptCount val="8"/>
                <c:pt idx="0">
                  <c:v>01-Jan-22</c:v>
                </c:pt>
                <c:pt idx="1">
                  <c:v>01-Feb-22</c:v>
                </c:pt>
                <c:pt idx="2">
                  <c:v>01-Mar-22</c:v>
                </c:pt>
                <c:pt idx="3">
                  <c:v>01-Apr-22</c:v>
                </c:pt>
                <c:pt idx="4">
                  <c:v>01-Jun-22</c:v>
                </c:pt>
                <c:pt idx="5">
                  <c:v>01-Jul-22</c:v>
                </c:pt>
                <c:pt idx="6">
                  <c:v>01-Aug-22</c:v>
                </c:pt>
                <c:pt idx="7">
                  <c:v>01-Sep-22</c:v>
                </c:pt>
              </c:strCache>
            </c:strRef>
          </c:cat>
          <c:val>
            <c:numRef>
              <c:f>Sheet7!$I$128:$I$136</c:f>
              <c:numCache>
                <c:formatCode>General</c:formatCode>
                <c:ptCount val="8"/>
                <c:pt idx="0">
                  <c:v>30.8</c:v>
                </c:pt>
                <c:pt idx="1">
                  <c:v>55.9</c:v>
                </c:pt>
                <c:pt idx="2">
                  <c:v>30.5</c:v>
                </c:pt>
                <c:pt idx="3">
                  <c:v>32.93</c:v>
                </c:pt>
                <c:pt idx="4">
                  <c:v>30.55</c:v>
                </c:pt>
                <c:pt idx="5">
                  <c:v>53.87</c:v>
                </c:pt>
                <c:pt idx="6">
                  <c:v>30.27</c:v>
                </c:pt>
                <c:pt idx="7">
                  <c:v>31.55</c:v>
                </c:pt>
              </c:numCache>
            </c:numRef>
          </c:val>
          <c:smooth val="0"/>
          <c:extLst>
            <c:ext xmlns:c16="http://schemas.microsoft.com/office/drawing/2014/chart" uri="{C3380CC4-5D6E-409C-BE32-E72D297353CC}">
              <c16:uniqueId val="{00000000-F0E8-4698-BF42-B3BF55DBA7BF}"/>
            </c:ext>
          </c:extLst>
        </c:ser>
        <c:dLbls>
          <c:showLegendKey val="0"/>
          <c:showVal val="0"/>
          <c:showCatName val="0"/>
          <c:showSerName val="0"/>
          <c:showPercent val="0"/>
          <c:showBubbleSize val="0"/>
        </c:dLbls>
        <c:marker val="1"/>
        <c:smooth val="0"/>
        <c:axId val="193578496"/>
        <c:axId val="193580032"/>
      </c:lineChart>
      <c:catAx>
        <c:axId val="193578496"/>
        <c:scaling>
          <c:orientation val="minMax"/>
        </c:scaling>
        <c:delete val="0"/>
        <c:axPos val="b"/>
        <c:numFmt formatCode="General" sourceLinked="0"/>
        <c:majorTickMark val="out"/>
        <c:minorTickMark val="none"/>
        <c:tickLblPos val="nextTo"/>
        <c:crossAx val="193580032"/>
        <c:crosses val="autoZero"/>
        <c:auto val="1"/>
        <c:lblAlgn val="ctr"/>
        <c:lblOffset val="100"/>
        <c:noMultiLvlLbl val="0"/>
      </c:catAx>
      <c:valAx>
        <c:axId val="193580032"/>
        <c:scaling>
          <c:orientation val="minMax"/>
        </c:scaling>
        <c:delete val="0"/>
        <c:axPos val="l"/>
        <c:majorGridlines/>
        <c:numFmt formatCode="General" sourceLinked="1"/>
        <c:majorTickMark val="out"/>
        <c:minorTickMark val="none"/>
        <c:tickLblPos val="nextTo"/>
        <c:crossAx val="1935784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[PROJECT 5G.xlsm]Sheet7!PivotTable9</c:name>
    <c:fmtId val="2"/>
  </c:pivotSource>
  <c:chart>
    <c:title>
      <c:overlay val="0"/>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dLbl>
          <c:idx val="0"/>
          <c:delete val="1"/>
          <c:extLst>
            <c:ext xmlns:c15="http://schemas.microsoft.com/office/drawing/2012/chart" uri="{CE6537A1-D6FC-4f65-9D91-7224C49458BB}"/>
          </c:extLst>
        </c:dLbl>
      </c:pivotFmt>
      <c:pivotFmt>
        <c:idx val="34"/>
      </c:pivotFmt>
      <c:pivotFmt>
        <c:idx val="35"/>
      </c:pivotFmt>
      <c:pivotFmt>
        <c:idx val="36"/>
      </c:pivotFmt>
      <c:pivotFmt>
        <c:idx val="37"/>
      </c:pivotFmt>
      <c:pivotFmt>
        <c:idx val="38"/>
      </c:pivotFmt>
      <c:pivotFmt>
        <c:idx val="39"/>
        <c:dLbl>
          <c:idx val="0"/>
          <c:delete val="1"/>
          <c:extLst>
            <c:ext xmlns:c15="http://schemas.microsoft.com/office/drawing/2012/chart" uri="{CE6537A1-D6FC-4f65-9D91-7224C49458BB}"/>
          </c:extLst>
        </c:dLbl>
      </c:pivotFmt>
      <c:pivotFmt>
        <c:idx val="40"/>
      </c:pivotFmt>
      <c:pivotFmt>
        <c:idx val="41"/>
      </c:pivotFmt>
      <c:pivotFmt>
        <c:idx val="42"/>
      </c:pivotFmt>
      <c:pivotFmt>
        <c:idx val="43"/>
      </c:pivotFmt>
      <c:pivotFmt>
        <c:idx val="44"/>
      </c:pivotFmt>
    </c:pivotFmts>
    <c:plotArea>
      <c:layout>
        <c:manualLayout>
          <c:layoutTarget val="inner"/>
          <c:xMode val="edge"/>
          <c:yMode val="edge"/>
          <c:x val="0.19222703013668863"/>
          <c:y val="0.34199647882121215"/>
          <c:w val="0.57333378157067705"/>
          <c:h val="0.40760050267914955"/>
        </c:manualLayout>
      </c:layout>
      <c:lineChart>
        <c:grouping val="standard"/>
        <c:varyColors val="0"/>
        <c:ser>
          <c:idx val="0"/>
          <c:order val="0"/>
          <c:tx>
            <c:strRef>
              <c:f>Sheet7!$J$164:$J$165</c:f>
              <c:strCache>
                <c:ptCount val="1"/>
                <c:pt idx="0">
                  <c:v>Chennai</c:v>
                </c:pt>
              </c:strCache>
            </c:strRef>
          </c:tx>
          <c:cat>
            <c:strRef>
              <c:f>Sheet7!$I$166:$I$174</c:f>
              <c:strCache>
                <c:ptCount val="8"/>
                <c:pt idx="0">
                  <c:v>01-Jan-22</c:v>
                </c:pt>
                <c:pt idx="1">
                  <c:v>01-Feb-22</c:v>
                </c:pt>
                <c:pt idx="2">
                  <c:v>01-Mar-22</c:v>
                </c:pt>
                <c:pt idx="3">
                  <c:v>01-Apr-22</c:v>
                </c:pt>
                <c:pt idx="4">
                  <c:v>01-Jun-22</c:v>
                </c:pt>
                <c:pt idx="5">
                  <c:v>01-Jul-22</c:v>
                </c:pt>
                <c:pt idx="6">
                  <c:v>01-Aug-22</c:v>
                </c:pt>
                <c:pt idx="7">
                  <c:v>01-Sep-22</c:v>
                </c:pt>
              </c:strCache>
            </c:strRef>
          </c:cat>
          <c:val>
            <c:numRef>
              <c:f>Sheet7!$J$166:$J$174</c:f>
              <c:numCache>
                <c:formatCode>General</c:formatCode>
                <c:ptCount val="8"/>
                <c:pt idx="0">
                  <c:v>203</c:v>
                </c:pt>
                <c:pt idx="1">
                  <c:v>206</c:v>
                </c:pt>
                <c:pt idx="2">
                  <c:v>211</c:v>
                </c:pt>
                <c:pt idx="3">
                  <c:v>192</c:v>
                </c:pt>
                <c:pt idx="4">
                  <c:v>198</c:v>
                </c:pt>
                <c:pt idx="5">
                  <c:v>196</c:v>
                </c:pt>
                <c:pt idx="6">
                  <c:v>209</c:v>
                </c:pt>
                <c:pt idx="7">
                  <c:v>188</c:v>
                </c:pt>
              </c:numCache>
            </c:numRef>
          </c:val>
          <c:smooth val="0"/>
          <c:extLst>
            <c:ext xmlns:c16="http://schemas.microsoft.com/office/drawing/2014/chart" uri="{C3380CC4-5D6E-409C-BE32-E72D297353CC}">
              <c16:uniqueId val="{00000000-213D-44DA-81DB-7352E6C72E89}"/>
            </c:ext>
          </c:extLst>
        </c:ser>
        <c:dLbls>
          <c:showLegendKey val="0"/>
          <c:showVal val="0"/>
          <c:showCatName val="0"/>
          <c:showSerName val="0"/>
          <c:showPercent val="0"/>
          <c:showBubbleSize val="0"/>
        </c:dLbls>
        <c:marker val="1"/>
        <c:smooth val="0"/>
        <c:axId val="193596800"/>
        <c:axId val="193606784"/>
      </c:lineChart>
      <c:catAx>
        <c:axId val="193596800"/>
        <c:scaling>
          <c:orientation val="minMax"/>
        </c:scaling>
        <c:delete val="0"/>
        <c:axPos val="b"/>
        <c:numFmt formatCode="General" sourceLinked="0"/>
        <c:majorTickMark val="out"/>
        <c:minorTickMark val="none"/>
        <c:tickLblPos val="nextTo"/>
        <c:crossAx val="193606784"/>
        <c:crosses val="autoZero"/>
        <c:auto val="1"/>
        <c:lblAlgn val="ctr"/>
        <c:lblOffset val="100"/>
        <c:noMultiLvlLbl val="0"/>
      </c:catAx>
      <c:valAx>
        <c:axId val="193606784"/>
        <c:scaling>
          <c:orientation val="minMax"/>
        </c:scaling>
        <c:delete val="0"/>
        <c:axPos val="l"/>
        <c:majorGridlines/>
        <c:numFmt formatCode="General" sourceLinked="1"/>
        <c:majorTickMark val="out"/>
        <c:minorTickMark val="none"/>
        <c:tickLblPos val="nextTo"/>
        <c:crossAx val="19359680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5G.xlsm]Sheet8!PivotTable17</c:name>
    <c:fmtId val="3"/>
  </c:pivotSource>
  <c:chart>
    <c:title>
      <c:overlay val="0"/>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marker>
          <c:symbol val="none"/>
        </c:marker>
        <c:dLbl>
          <c:idx val="0"/>
          <c:spPr/>
          <c:txPr>
            <a:bodyPr/>
            <a:lstStyle/>
            <a:p>
              <a:pPr>
                <a:defRPr/>
              </a:pPr>
              <a:endParaRPr lang="en-US"/>
            </a:p>
          </c:txPr>
          <c:showLegendKey val="0"/>
          <c:showVal val="1"/>
          <c:showCatName val="1"/>
          <c:showSerName val="1"/>
          <c:showPercent val="1"/>
          <c:showBubbleSize val="0"/>
          <c:extLst>
            <c:ext xmlns:c15="http://schemas.microsoft.com/office/drawing/2012/chart" uri="{CE6537A1-D6FC-4f65-9D91-7224C49458BB}"/>
          </c:extLst>
        </c:dLbl>
      </c:pivotFmt>
      <c:pivotFmt>
        <c:idx val="17"/>
        <c:marker>
          <c:symbol val="none"/>
        </c:marker>
        <c:dLbl>
          <c:idx val="0"/>
          <c:showLegendKey val="0"/>
          <c:showVal val="1"/>
          <c:showCatName val="1"/>
          <c:showSerName val="1"/>
          <c:showPercent val="1"/>
          <c:showBubbleSize val="0"/>
          <c:extLst>
            <c:ext xmlns:c15="http://schemas.microsoft.com/office/drawing/2012/chart" uri="{CE6537A1-D6FC-4f65-9D91-7224C49458BB}"/>
          </c:extLst>
        </c:dLbl>
      </c:pivotFmt>
      <c:pivotFmt>
        <c:idx val="18"/>
        <c:marker>
          <c:symbol val="none"/>
        </c:marker>
        <c:dLbl>
          <c:idx val="0"/>
          <c:spPr/>
          <c:txPr>
            <a:bodyPr/>
            <a:lstStyle/>
            <a:p>
              <a:pPr>
                <a:defRPr/>
              </a:pPr>
              <a:endParaRPr lang="en-US"/>
            </a:p>
          </c:txPr>
          <c:showLegendKey val="0"/>
          <c:showVal val="1"/>
          <c:showCatName val="1"/>
          <c:showSerName val="1"/>
          <c:showPercent val="1"/>
          <c:showBubbleSize val="0"/>
          <c:extLst>
            <c:ext xmlns:c15="http://schemas.microsoft.com/office/drawing/2012/chart" uri="{CE6537A1-D6FC-4f65-9D91-7224C49458BB}"/>
          </c:extLst>
        </c:dLbl>
      </c:pivotFmt>
      <c:pivotFmt>
        <c:idx val="19"/>
        <c:marker>
          <c:symbol val="none"/>
        </c:marker>
        <c:dLbl>
          <c:idx val="0"/>
          <c:spPr/>
          <c:txPr>
            <a:bodyPr/>
            <a:lstStyle/>
            <a:p>
              <a:pPr>
                <a:defRPr/>
              </a:pPr>
              <a:endParaRPr lang="en-US"/>
            </a:p>
          </c:txPr>
          <c:showLegendKey val="0"/>
          <c:showVal val="1"/>
          <c:showCatName val="1"/>
          <c:showSerName val="1"/>
          <c:showPercent val="1"/>
          <c:showBubbleSize val="0"/>
          <c:extLst>
            <c:ext xmlns:c15="http://schemas.microsoft.com/office/drawing/2012/chart" uri="{CE6537A1-D6FC-4f65-9D91-7224C49458BB}"/>
          </c:extLst>
        </c:dLbl>
      </c:pivotFmt>
      <c:pivotFmt>
        <c:idx val="20"/>
        <c:marker>
          <c:symbol val="none"/>
        </c:marker>
        <c:dLbl>
          <c:idx val="0"/>
          <c:spPr/>
          <c:txPr>
            <a:bodyPr/>
            <a:lstStyle/>
            <a:p>
              <a:pPr>
                <a:defRPr/>
              </a:pPr>
              <a:endParaRPr lang="en-US"/>
            </a:p>
          </c:txPr>
          <c:showLegendKey val="0"/>
          <c:showVal val="1"/>
          <c:showCatName val="1"/>
          <c:showSerName val="1"/>
          <c:showPercent val="1"/>
          <c:showBubbleSize val="0"/>
          <c:extLst>
            <c:ext xmlns:c15="http://schemas.microsoft.com/office/drawing/2012/chart" uri="{CE6537A1-D6FC-4f65-9D91-7224C49458BB}"/>
          </c:extLst>
        </c:dLbl>
      </c:pivotFmt>
      <c:pivotFmt>
        <c:idx val="21"/>
        <c:marker>
          <c:symbol val="none"/>
        </c:marker>
        <c:dLbl>
          <c:idx val="0"/>
          <c:spPr/>
          <c:txPr>
            <a:bodyPr/>
            <a:lstStyle/>
            <a:p>
              <a:pPr>
                <a:defRPr/>
              </a:pPr>
              <a:endParaRPr lang="en-US"/>
            </a:p>
          </c:txPr>
          <c:showLegendKey val="0"/>
          <c:showVal val="1"/>
          <c:showCatName val="1"/>
          <c:showSerName val="1"/>
          <c:showPercent val="1"/>
          <c:showBubbleSize val="0"/>
          <c:extLst>
            <c:ext xmlns:c15="http://schemas.microsoft.com/office/drawing/2012/chart" uri="{CE6537A1-D6FC-4f65-9D91-7224C49458BB}"/>
          </c:extLst>
        </c:dLbl>
      </c:pivotFmt>
      <c:pivotFmt>
        <c:idx val="22"/>
        <c:marker>
          <c:symbol val="none"/>
        </c:marker>
        <c:dLbl>
          <c:idx val="0"/>
          <c:spPr/>
          <c:txPr>
            <a:bodyPr/>
            <a:lstStyle/>
            <a:p>
              <a:pPr>
                <a:defRPr/>
              </a:pPr>
              <a:endParaRPr lang="en-US"/>
            </a:p>
          </c:txPr>
          <c:showLegendKey val="0"/>
          <c:showVal val="1"/>
          <c:showCatName val="1"/>
          <c:showSerName val="1"/>
          <c:showPercent val="1"/>
          <c:showBubbleSize val="0"/>
          <c:extLst>
            <c:ext xmlns:c15="http://schemas.microsoft.com/office/drawing/2012/chart" uri="{CE6537A1-D6FC-4f65-9D91-7224C49458BB}"/>
          </c:extLst>
        </c:dLbl>
      </c:pivotFmt>
      <c:pivotFmt>
        <c:idx val="23"/>
        <c:marker>
          <c:symbol val="none"/>
        </c:marker>
        <c:dLbl>
          <c:idx val="0"/>
          <c:spPr/>
          <c:txPr>
            <a:bodyPr/>
            <a:lstStyle/>
            <a:p>
              <a:pPr>
                <a:defRPr/>
              </a:pPr>
              <a:endParaRPr lang="en-US"/>
            </a:p>
          </c:txPr>
          <c:showLegendKey val="0"/>
          <c:showVal val="1"/>
          <c:showCatName val="1"/>
          <c:showSerName val="1"/>
          <c:showPercent val="1"/>
          <c:showBubbleSize val="0"/>
          <c:extLst>
            <c:ext xmlns:c15="http://schemas.microsoft.com/office/drawing/2012/chart" uri="{CE6537A1-D6FC-4f65-9D91-7224C49458BB}"/>
          </c:extLst>
        </c:dLbl>
      </c:pivotFmt>
      <c:pivotFmt>
        <c:idx val="24"/>
        <c:marker>
          <c:symbol val="none"/>
        </c:marker>
        <c:dLbl>
          <c:idx val="0"/>
          <c:spPr/>
          <c:txPr>
            <a:bodyPr/>
            <a:lstStyle/>
            <a:p>
              <a:pPr>
                <a:defRPr/>
              </a:pPr>
              <a:endParaRPr lang="en-US"/>
            </a:p>
          </c:txPr>
          <c:showLegendKey val="0"/>
          <c:showVal val="1"/>
          <c:showCatName val="1"/>
          <c:showSerName val="1"/>
          <c:showPercent val="1"/>
          <c:showBubbleSize val="0"/>
          <c:extLst>
            <c:ext xmlns:c15="http://schemas.microsoft.com/office/drawing/2012/chart" uri="{CE6537A1-D6FC-4f65-9D91-7224C49458BB}"/>
          </c:extLst>
        </c:dLbl>
      </c:pivotFmt>
      <c:pivotFmt>
        <c:idx val="25"/>
        <c:marker>
          <c:symbol val="none"/>
        </c:marker>
        <c:dLbl>
          <c:idx val="0"/>
          <c:spPr/>
          <c:txPr>
            <a:bodyPr/>
            <a:lstStyle/>
            <a:p>
              <a:pPr>
                <a:defRPr/>
              </a:pPr>
              <a:endParaRPr lang="en-US"/>
            </a:p>
          </c:txPr>
          <c:showLegendKey val="0"/>
          <c:showVal val="1"/>
          <c:showCatName val="1"/>
          <c:showSerName val="1"/>
          <c:showPercent val="1"/>
          <c:showBubbleSize val="0"/>
          <c:extLst>
            <c:ext xmlns:c15="http://schemas.microsoft.com/office/drawing/2012/chart" uri="{CE6537A1-D6FC-4f65-9D91-7224C49458BB}"/>
          </c:extLst>
        </c:dLbl>
      </c:pivotFmt>
      <c:pivotFmt>
        <c:idx val="26"/>
        <c:marker>
          <c:symbol val="none"/>
        </c:marker>
        <c:dLbl>
          <c:idx val="0"/>
          <c:spPr/>
          <c:txPr>
            <a:bodyPr/>
            <a:lstStyle/>
            <a:p>
              <a:pPr>
                <a:defRPr/>
              </a:pPr>
              <a:endParaRPr lang="en-US"/>
            </a:p>
          </c:txPr>
          <c:showLegendKey val="0"/>
          <c:showVal val="1"/>
          <c:showCatName val="1"/>
          <c:showSerName val="1"/>
          <c:showPercent val="1"/>
          <c:showBubbleSize val="0"/>
          <c:extLst>
            <c:ext xmlns:c15="http://schemas.microsoft.com/office/drawing/2012/chart" uri="{CE6537A1-D6FC-4f65-9D91-7224C49458BB}"/>
          </c:extLst>
        </c:dLbl>
      </c:pivotFmt>
      <c:pivotFmt>
        <c:idx val="27"/>
        <c:marker>
          <c:symbol val="none"/>
        </c:marker>
        <c:dLbl>
          <c:idx val="0"/>
          <c:spPr/>
          <c:txPr>
            <a:bodyPr/>
            <a:lstStyle/>
            <a:p>
              <a:pPr>
                <a:defRPr/>
              </a:pPr>
              <a:endParaRPr lang="en-US"/>
            </a:p>
          </c:txPr>
          <c:showLegendKey val="0"/>
          <c:showVal val="1"/>
          <c:showCatName val="1"/>
          <c:showSerName val="1"/>
          <c:showPercent val="1"/>
          <c:showBubbleSize val="0"/>
          <c:extLst>
            <c:ext xmlns:c15="http://schemas.microsoft.com/office/drawing/2012/chart" uri="{CE6537A1-D6FC-4f65-9D91-7224C49458BB}"/>
          </c:extLst>
        </c:dLbl>
      </c:pivotFmt>
      <c:pivotFmt>
        <c:idx val="28"/>
        <c:marker>
          <c:symbol val="none"/>
        </c:marker>
        <c:dLbl>
          <c:idx val="0"/>
          <c:spPr/>
          <c:txPr>
            <a:bodyPr/>
            <a:lstStyle/>
            <a:p>
              <a:pPr>
                <a:defRPr/>
              </a:pPr>
              <a:endParaRPr lang="en-US"/>
            </a:p>
          </c:txPr>
          <c:showLegendKey val="0"/>
          <c:showVal val="1"/>
          <c:showCatName val="1"/>
          <c:showSerName val="1"/>
          <c:showPercent val="1"/>
          <c:showBubbleSize val="0"/>
          <c:extLst>
            <c:ext xmlns:c15="http://schemas.microsoft.com/office/drawing/2012/chart" uri="{CE6537A1-D6FC-4f65-9D91-7224C49458BB}"/>
          </c:extLst>
        </c:dLbl>
      </c:pivotFmt>
      <c:pivotFmt>
        <c:idx val="29"/>
        <c:marker>
          <c:symbol val="none"/>
        </c:marker>
        <c:dLbl>
          <c:idx val="0"/>
          <c:spPr/>
          <c:txPr>
            <a:bodyPr/>
            <a:lstStyle/>
            <a:p>
              <a:pPr>
                <a:defRPr/>
              </a:pPr>
              <a:endParaRPr lang="en-US"/>
            </a:p>
          </c:txPr>
          <c:showLegendKey val="0"/>
          <c:showVal val="1"/>
          <c:showCatName val="1"/>
          <c:showSerName val="1"/>
          <c:showPercent val="1"/>
          <c:showBubbleSize val="0"/>
          <c:extLst>
            <c:ext xmlns:c15="http://schemas.microsoft.com/office/drawing/2012/chart" uri="{CE6537A1-D6FC-4f65-9D91-7224C49458BB}"/>
          </c:extLst>
        </c:dLbl>
      </c:pivotFmt>
      <c:pivotFmt>
        <c:idx val="30"/>
        <c:marker>
          <c:symbol val="none"/>
        </c:marker>
        <c:dLbl>
          <c:idx val="0"/>
          <c:spPr/>
          <c:txPr>
            <a:bodyPr/>
            <a:lstStyle/>
            <a:p>
              <a:pPr>
                <a:defRPr/>
              </a:pPr>
              <a:endParaRPr lang="en-US"/>
            </a:p>
          </c:txPr>
          <c:showLegendKey val="0"/>
          <c:showVal val="1"/>
          <c:showCatName val="1"/>
          <c:showSerName val="1"/>
          <c:showPercent val="1"/>
          <c:showBubbleSize val="0"/>
          <c:extLst>
            <c:ext xmlns:c15="http://schemas.microsoft.com/office/drawing/2012/chart" uri="{CE6537A1-D6FC-4f65-9D91-7224C49458BB}"/>
          </c:extLst>
        </c:dLbl>
      </c:pivotFmt>
      <c:pivotFmt>
        <c:idx val="31"/>
      </c:pivotFmt>
    </c:pivotFmts>
    <c:plotArea>
      <c:layout/>
      <c:pieChart>
        <c:varyColors val="1"/>
        <c:ser>
          <c:idx val="0"/>
          <c:order val="0"/>
          <c:tx>
            <c:strRef>
              <c:f>Sheet8!$B$4:$B$5</c:f>
              <c:strCache>
                <c:ptCount val="1"/>
                <c:pt idx="0">
                  <c:v>Hyderabad</c:v>
                </c:pt>
              </c:strCache>
            </c:strRef>
          </c:tx>
          <c:dLbls>
            <c:spPr/>
            <c:txPr>
              <a:bodyPr/>
              <a:lstStyle/>
              <a:p>
                <a:pPr>
                  <a:defRPr/>
                </a:pPr>
                <a:endParaRPr lang="en-US"/>
              </a:p>
            </c:txPr>
            <c:showLegendKey val="0"/>
            <c:showVal val="1"/>
            <c:showCatName val="1"/>
            <c:showSerName val="1"/>
            <c:showPercent val="1"/>
            <c:showBubbleSize val="0"/>
            <c:showLeaderLines val="1"/>
            <c:extLst>
              <c:ext xmlns:c15="http://schemas.microsoft.com/office/drawing/2012/chart" uri="{CE6537A1-D6FC-4f65-9D91-7224C49458BB}"/>
            </c:extLst>
          </c:dLbls>
          <c:cat>
            <c:strRef>
              <c:f>Sheet8!$A$6:$A$11</c:f>
              <c:strCache>
                <c:ptCount val="5"/>
                <c:pt idx="0">
                  <c:v>Atliqo</c:v>
                </c:pt>
                <c:pt idx="1">
                  <c:v>Britel</c:v>
                </c:pt>
                <c:pt idx="2">
                  <c:v>DADAFONE</c:v>
                </c:pt>
                <c:pt idx="3">
                  <c:v>Others</c:v>
                </c:pt>
                <c:pt idx="4">
                  <c:v>PIO</c:v>
                </c:pt>
              </c:strCache>
            </c:strRef>
          </c:cat>
          <c:val>
            <c:numRef>
              <c:f>Sheet8!$B$6:$B$11</c:f>
              <c:numCache>
                <c:formatCode>General</c:formatCode>
                <c:ptCount val="5"/>
                <c:pt idx="0">
                  <c:v>141.75</c:v>
                </c:pt>
                <c:pt idx="1">
                  <c:v>233.41</c:v>
                </c:pt>
                <c:pt idx="2">
                  <c:v>82.26</c:v>
                </c:pt>
                <c:pt idx="3">
                  <c:v>58.690000000000005</c:v>
                </c:pt>
                <c:pt idx="4">
                  <c:v>283.89</c:v>
                </c:pt>
              </c:numCache>
            </c:numRef>
          </c:val>
          <c:extLst>
            <c:ext xmlns:c16="http://schemas.microsoft.com/office/drawing/2014/chart" uri="{C3380CC4-5D6E-409C-BE32-E72D297353CC}">
              <c16:uniqueId val="{00000000-9645-492E-9EB1-2F31BC656E3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spPr>
    <a:solidFill>
      <a:schemeClr val="bg2">
        <a:lumMod val="75000"/>
      </a:schemeClr>
    </a:solidFill>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3"/>
    </mc:Choice>
    <mc:Fallback>
      <c:style val="33"/>
    </mc:Fallback>
  </mc:AlternateContent>
  <c:pivotSource>
    <c:name>[PROJECT 5G.xlsm]Sheet8!PivotTable18</c:name>
    <c:fmtId val="2"/>
  </c:pivotSource>
  <c:chart>
    <c:title>
      <c:tx>
        <c:rich>
          <a:bodyPr/>
          <a:lstStyle/>
          <a:p>
            <a:pPr>
              <a:defRPr/>
            </a:pPr>
            <a:r>
              <a:rPr lang="en-US"/>
              <a:t>Total Market value </a:t>
            </a:r>
          </a:p>
        </c:rich>
      </c:tx>
      <c:overlay val="0"/>
    </c:title>
    <c:autoTitleDeleted val="0"/>
    <c:pivotFmts>
      <c:pivotFmt>
        <c:idx val="0"/>
      </c:pivotFmt>
      <c:pivotFmt>
        <c:idx val="1"/>
      </c:pivotFmt>
      <c:pivotFmt>
        <c:idx val="2"/>
      </c:pivotFmt>
      <c:pivotFmt>
        <c:idx val="3"/>
      </c:pivotFmt>
      <c:pivotFmt>
        <c:idx val="4"/>
      </c:pivotFmt>
      <c:pivotFmt>
        <c:idx val="5"/>
      </c:pivotFmt>
      <c:pivotFmt>
        <c:idx val="6"/>
      </c:pivotFmt>
      <c:pivotFmt>
        <c:idx val="7"/>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Sheet8!$B$27</c:f>
              <c:strCache>
                <c:ptCount val="1"/>
                <c:pt idx="0">
                  <c:v>Total</c:v>
                </c:pt>
              </c:strCache>
            </c:strRef>
          </c:tx>
          <c:invertIfNegative val="0"/>
          <c:cat>
            <c:strRef>
              <c:f>Sheet8!$A$28:$A$29</c:f>
              <c:strCache>
                <c:ptCount val="1"/>
                <c:pt idx="0">
                  <c:v>Hyderabad</c:v>
                </c:pt>
              </c:strCache>
            </c:strRef>
          </c:cat>
          <c:val>
            <c:numRef>
              <c:f>Sheet8!$B$28:$B$29</c:f>
              <c:numCache>
                <c:formatCode>General</c:formatCode>
                <c:ptCount val="1"/>
                <c:pt idx="0">
                  <c:v>6662.9000000000005</c:v>
                </c:pt>
              </c:numCache>
            </c:numRef>
          </c:val>
          <c:extLst>
            <c:ext xmlns:c16="http://schemas.microsoft.com/office/drawing/2014/chart" uri="{C3380CC4-5D6E-409C-BE32-E72D297353CC}">
              <c16:uniqueId val="{00000000-E2D9-4CE9-B000-CEE2F4CDA53D}"/>
            </c:ext>
          </c:extLst>
        </c:ser>
        <c:dLbls>
          <c:showLegendKey val="0"/>
          <c:showVal val="0"/>
          <c:showCatName val="0"/>
          <c:showSerName val="0"/>
          <c:showPercent val="0"/>
          <c:showBubbleSize val="0"/>
        </c:dLbls>
        <c:gapWidth val="150"/>
        <c:axId val="194112896"/>
        <c:axId val="194114688"/>
      </c:barChart>
      <c:catAx>
        <c:axId val="194112896"/>
        <c:scaling>
          <c:orientation val="minMax"/>
        </c:scaling>
        <c:delete val="0"/>
        <c:axPos val="b"/>
        <c:numFmt formatCode="General" sourceLinked="0"/>
        <c:majorTickMark val="out"/>
        <c:minorTickMark val="none"/>
        <c:tickLblPos val="nextTo"/>
        <c:crossAx val="194114688"/>
        <c:crosses val="autoZero"/>
        <c:auto val="1"/>
        <c:lblAlgn val="ctr"/>
        <c:lblOffset val="100"/>
        <c:noMultiLvlLbl val="0"/>
      </c:catAx>
      <c:valAx>
        <c:axId val="194114688"/>
        <c:scaling>
          <c:orientation val="minMax"/>
        </c:scaling>
        <c:delete val="0"/>
        <c:axPos val="l"/>
        <c:majorGridlines/>
        <c:numFmt formatCode="General" sourceLinked="1"/>
        <c:majorTickMark val="out"/>
        <c:minorTickMark val="none"/>
        <c:tickLblPos val="nextTo"/>
        <c:crossAx val="194112896"/>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5G.xlsm]plan_revnue!PivotTable1</c:name>
    <c:fmtId val="0"/>
  </c:pivotSource>
  <c:chart>
    <c:title>
      <c:overlay val="0"/>
    </c:title>
    <c:autoTitleDeleted val="0"/>
    <c:pivotFmts>
      <c:pivotFmt>
        <c:idx val="0"/>
        <c:marker>
          <c:symbol val="none"/>
        </c:marker>
      </c:pivotFmt>
      <c:pivotFmt>
        <c:idx val="1"/>
        <c:marker>
          <c:symbol val="none"/>
        </c:marker>
      </c:pivotFmt>
      <c:pivotFmt>
        <c:idx val="2"/>
        <c:marker>
          <c:symbol val="none"/>
        </c:marker>
        <c:dLbl>
          <c:idx val="0"/>
          <c:delete val="1"/>
          <c:extLst>
            <c:ext xmlns:c15="http://schemas.microsoft.com/office/drawing/2012/chart" uri="{CE6537A1-D6FC-4f65-9D91-7224C49458BB}"/>
          </c:extLst>
        </c:dLbl>
      </c:pivotFmt>
      <c:pivotFmt>
        <c:idx val="3"/>
        <c:marker>
          <c:symbol val="none"/>
        </c:marker>
      </c:pivotFmt>
      <c:pivotFmt>
        <c:idx val="4"/>
        <c:marker>
          <c:symbol val="none"/>
        </c:marker>
        <c:dLbl>
          <c:idx val="0"/>
          <c:delete val="1"/>
          <c:extLst>
            <c:ext xmlns:c15="http://schemas.microsoft.com/office/drawing/2012/chart" uri="{CE6537A1-D6FC-4f65-9D91-7224C49458BB}"/>
          </c:extLst>
        </c:dLbl>
      </c:pivotFmt>
      <c:pivotFmt>
        <c:idx val="5"/>
        <c:marker>
          <c:symbol val="none"/>
        </c:marker>
        <c:dLbl>
          <c:idx val="0"/>
          <c:delete val="1"/>
          <c:extLst>
            <c:ext xmlns:c15="http://schemas.microsoft.com/office/drawing/2012/chart" uri="{CE6537A1-D6FC-4f65-9D91-7224C49458BB}"/>
          </c:extLst>
        </c:dLbl>
      </c:pivotFmt>
      <c:pivotFmt>
        <c:idx val="6"/>
        <c:marker>
          <c:symbol val="none"/>
        </c:marker>
        <c:dLbl>
          <c:idx val="0"/>
          <c:delete val="1"/>
          <c:extLst>
            <c:ext xmlns:c15="http://schemas.microsoft.com/office/drawing/2012/chart" uri="{CE6537A1-D6FC-4f65-9D91-7224C49458BB}"/>
          </c:extLst>
        </c:dLbl>
      </c:pivotFmt>
      <c:pivotFmt>
        <c:idx val="7"/>
        <c:marker>
          <c:symbol val="none"/>
        </c:marker>
      </c:pivotFmt>
      <c:pivotFmt>
        <c:idx val="8"/>
        <c:marker>
          <c:symbol val="none"/>
        </c:marker>
        <c:dLbl>
          <c:idx val="0"/>
          <c:delete val="1"/>
          <c:extLst>
            <c:ext xmlns:c15="http://schemas.microsoft.com/office/drawing/2012/chart" uri="{CE6537A1-D6FC-4f65-9D91-7224C49458BB}"/>
          </c:extLst>
        </c:dLbl>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plan_revnue!$W$6:$W$7</c:f>
              <c:strCache>
                <c:ptCount val="1"/>
                <c:pt idx="0">
                  <c:v>Coimbatore</c:v>
                </c:pt>
              </c:strCache>
            </c:strRef>
          </c:tx>
          <c:invertIfNegative val="0"/>
          <c:cat>
            <c:strRef>
              <c:f>plan_revnue!$V$8:$V$21</c:f>
              <c:strCache>
                <c:ptCount val="13"/>
                <c:pt idx="0">
                  <c:v>p1</c:v>
                </c:pt>
                <c:pt idx="1">
                  <c:v>p10</c:v>
                </c:pt>
                <c:pt idx="2">
                  <c:v>p11</c:v>
                </c:pt>
                <c:pt idx="3">
                  <c:v>p12</c:v>
                </c:pt>
                <c:pt idx="4">
                  <c:v>p13</c:v>
                </c:pt>
                <c:pt idx="5">
                  <c:v>p2</c:v>
                </c:pt>
                <c:pt idx="6">
                  <c:v>p3</c:v>
                </c:pt>
                <c:pt idx="7">
                  <c:v>p4</c:v>
                </c:pt>
                <c:pt idx="8">
                  <c:v>p5</c:v>
                </c:pt>
                <c:pt idx="9">
                  <c:v>p6</c:v>
                </c:pt>
                <c:pt idx="10">
                  <c:v>p7</c:v>
                </c:pt>
                <c:pt idx="11">
                  <c:v>p8</c:v>
                </c:pt>
                <c:pt idx="12">
                  <c:v>p9</c:v>
                </c:pt>
              </c:strCache>
            </c:strRef>
          </c:cat>
          <c:val>
            <c:numRef>
              <c:f>plan_revnue!$W$8:$W$21</c:f>
              <c:numCache>
                <c:formatCode>General</c:formatCode>
                <c:ptCount val="13"/>
                <c:pt idx="0">
                  <c:v>11.7</c:v>
                </c:pt>
                <c:pt idx="1">
                  <c:v>0.44</c:v>
                </c:pt>
                <c:pt idx="2">
                  <c:v>5.56</c:v>
                </c:pt>
                <c:pt idx="3">
                  <c:v>3.5800000000000005</c:v>
                </c:pt>
                <c:pt idx="4">
                  <c:v>1.04</c:v>
                </c:pt>
                <c:pt idx="5">
                  <c:v>8.5</c:v>
                </c:pt>
                <c:pt idx="6">
                  <c:v>7.6700000000000008</c:v>
                </c:pt>
                <c:pt idx="7">
                  <c:v>5.5699999999999994</c:v>
                </c:pt>
                <c:pt idx="8">
                  <c:v>4.8600000000000003</c:v>
                </c:pt>
                <c:pt idx="9">
                  <c:v>3.4899999999999998</c:v>
                </c:pt>
                <c:pt idx="10">
                  <c:v>2.16</c:v>
                </c:pt>
                <c:pt idx="11">
                  <c:v>1.18</c:v>
                </c:pt>
                <c:pt idx="12">
                  <c:v>0.64</c:v>
                </c:pt>
              </c:numCache>
            </c:numRef>
          </c:val>
          <c:extLst>
            <c:ext xmlns:c16="http://schemas.microsoft.com/office/drawing/2014/chart" uri="{C3380CC4-5D6E-409C-BE32-E72D297353CC}">
              <c16:uniqueId val="{00000000-1F84-44FD-9ADD-A76D34EFACC6}"/>
            </c:ext>
          </c:extLst>
        </c:ser>
        <c:dLbls>
          <c:showLegendKey val="0"/>
          <c:showVal val="0"/>
          <c:showCatName val="0"/>
          <c:showSerName val="0"/>
          <c:showPercent val="0"/>
          <c:showBubbleSize val="0"/>
        </c:dLbls>
        <c:gapWidth val="150"/>
        <c:axId val="193243392"/>
        <c:axId val="190390272"/>
      </c:barChart>
      <c:catAx>
        <c:axId val="193243392"/>
        <c:scaling>
          <c:orientation val="minMax"/>
        </c:scaling>
        <c:delete val="0"/>
        <c:axPos val="b"/>
        <c:numFmt formatCode="General" sourceLinked="0"/>
        <c:majorTickMark val="out"/>
        <c:minorTickMark val="none"/>
        <c:tickLblPos val="nextTo"/>
        <c:crossAx val="190390272"/>
        <c:crosses val="autoZero"/>
        <c:auto val="1"/>
        <c:lblAlgn val="ctr"/>
        <c:lblOffset val="100"/>
        <c:noMultiLvlLbl val="0"/>
      </c:catAx>
      <c:valAx>
        <c:axId val="190390272"/>
        <c:scaling>
          <c:orientation val="minMax"/>
        </c:scaling>
        <c:delete val="0"/>
        <c:axPos val="l"/>
        <c:majorGridlines/>
        <c:numFmt formatCode="General" sourceLinked="1"/>
        <c:majorTickMark val="out"/>
        <c:minorTickMark val="none"/>
        <c:tickLblPos val="nextTo"/>
        <c:crossAx val="1932433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5"/>
    </mc:Choice>
    <mc:Fallback>
      <c:style val="25"/>
    </mc:Fallback>
  </mc:AlternateContent>
  <c:pivotSource>
    <c:name>[PROJECT 5G.xlsm]plan_revnue!PivotTable1</c:name>
    <c:fmtId val="2"/>
  </c:pivotSource>
  <c:chart>
    <c:title>
      <c:overlay val="0"/>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marker>
          <c:symbol val="none"/>
        </c:marker>
        <c:dLbl>
          <c:idx val="0"/>
          <c:delete val="1"/>
          <c:extLst>
            <c:ext xmlns:c15="http://schemas.microsoft.com/office/drawing/2012/chart" uri="{CE6537A1-D6FC-4f65-9D91-7224C49458BB}"/>
          </c:extLst>
        </c:dLbl>
      </c:pivotFmt>
      <c:pivotFmt>
        <c:idx val="17"/>
        <c:marker>
          <c:symbol val="none"/>
        </c:marker>
      </c:pivotFmt>
      <c:pivotFmt>
        <c:idx val="18"/>
        <c:marker>
          <c:symbol val="none"/>
        </c:marker>
        <c:dLbl>
          <c:idx val="0"/>
          <c:delete val="1"/>
          <c:extLst>
            <c:ext xmlns:c15="http://schemas.microsoft.com/office/drawing/2012/chart" uri="{CE6537A1-D6FC-4f65-9D91-7224C49458BB}"/>
          </c:extLst>
        </c:dLbl>
      </c:pivotFmt>
      <c:pivotFmt>
        <c:idx val="19"/>
        <c:marker>
          <c:symbol val="none"/>
        </c:marker>
        <c:dLbl>
          <c:idx val="0"/>
          <c:delete val="1"/>
          <c:extLst>
            <c:ext xmlns:c15="http://schemas.microsoft.com/office/drawing/2012/chart" uri="{CE6537A1-D6FC-4f65-9D91-7224C49458BB}"/>
          </c:extLst>
        </c:dLbl>
      </c:pivotFmt>
      <c:pivotFmt>
        <c:idx val="20"/>
        <c:marker>
          <c:symbol val="none"/>
        </c:marker>
      </c:pivotFmt>
      <c:pivotFmt>
        <c:idx val="21"/>
        <c:marker>
          <c:symbol val="none"/>
        </c:marker>
        <c:dLbl>
          <c:idx val="0"/>
          <c:delete val="1"/>
          <c:extLst>
            <c:ext xmlns:c15="http://schemas.microsoft.com/office/drawing/2012/chart" uri="{CE6537A1-D6FC-4f65-9D91-7224C49458BB}"/>
          </c:extLst>
        </c:dLbl>
      </c:pivotFmt>
      <c:pivotFmt>
        <c:idx val="22"/>
        <c:dLbl>
          <c:idx val="0"/>
          <c:delete val="1"/>
          <c:extLst>
            <c:ext xmlns:c15="http://schemas.microsoft.com/office/drawing/2012/chart" uri="{CE6537A1-D6FC-4f65-9D91-7224C49458BB}"/>
          </c:extLst>
        </c:dLbl>
      </c:pivotFmt>
      <c:pivotFmt>
        <c:idx val="23"/>
        <c:dLbl>
          <c:idx val="0"/>
          <c:delete val="1"/>
          <c:extLst>
            <c:ext xmlns:c15="http://schemas.microsoft.com/office/drawing/2012/chart" uri="{CE6537A1-D6FC-4f65-9D91-7224C49458BB}"/>
          </c:extLst>
        </c:dLbl>
      </c:pivotFmt>
    </c:pivotFmts>
    <c:plotArea>
      <c:layout>
        <c:manualLayout>
          <c:layoutTarget val="inner"/>
          <c:xMode val="edge"/>
          <c:yMode val="edge"/>
          <c:x val="9.0597170928855136E-2"/>
          <c:y val="0.25035906969962091"/>
          <c:w val="0.69480424321959755"/>
          <c:h val="0.59199438611840183"/>
        </c:manualLayout>
      </c:layout>
      <c:barChart>
        <c:barDir val="col"/>
        <c:grouping val="clustered"/>
        <c:varyColors val="0"/>
        <c:ser>
          <c:idx val="0"/>
          <c:order val="0"/>
          <c:tx>
            <c:strRef>
              <c:f>plan_revnue!$W$6:$W$7</c:f>
              <c:strCache>
                <c:ptCount val="1"/>
                <c:pt idx="0">
                  <c:v>Coimbatore</c:v>
                </c:pt>
              </c:strCache>
            </c:strRef>
          </c:tx>
          <c:invertIfNegative val="0"/>
          <c:cat>
            <c:strRef>
              <c:f>plan_revnue!$V$8:$V$21</c:f>
              <c:strCache>
                <c:ptCount val="13"/>
                <c:pt idx="0">
                  <c:v>p1</c:v>
                </c:pt>
                <c:pt idx="1">
                  <c:v>p10</c:v>
                </c:pt>
                <c:pt idx="2">
                  <c:v>p11</c:v>
                </c:pt>
                <c:pt idx="3">
                  <c:v>p12</c:v>
                </c:pt>
                <c:pt idx="4">
                  <c:v>p13</c:v>
                </c:pt>
                <c:pt idx="5">
                  <c:v>p2</c:v>
                </c:pt>
                <c:pt idx="6">
                  <c:v>p3</c:v>
                </c:pt>
                <c:pt idx="7">
                  <c:v>p4</c:v>
                </c:pt>
                <c:pt idx="8">
                  <c:v>p5</c:v>
                </c:pt>
                <c:pt idx="9">
                  <c:v>p6</c:v>
                </c:pt>
                <c:pt idx="10">
                  <c:v>p7</c:v>
                </c:pt>
                <c:pt idx="11">
                  <c:v>p8</c:v>
                </c:pt>
                <c:pt idx="12">
                  <c:v>p9</c:v>
                </c:pt>
              </c:strCache>
            </c:strRef>
          </c:cat>
          <c:val>
            <c:numRef>
              <c:f>plan_revnue!$W$8:$W$21</c:f>
              <c:numCache>
                <c:formatCode>General</c:formatCode>
                <c:ptCount val="13"/>
                <c:pt idx="0">
                  <c:v>11.7</c:v>
                </c:pt>
                <c:pt idx="1">
                  <c:v>0.44</c:v>
                </c:pt>
                <c:pt idx="2">
                  <c:v>5.56</c:v>
                </c:pt>
                <c:pt idx="3">
                  <c:v>3.5800000000000005</c:v>
                </c:pt>
                <c:pt idx="4">
                  <c:v>1.04</c:v>
                </c:pt>
                <c:pt idx="5">
                  <c:v>8.5</c:v>
                </c:pt>
                <c:pt idx="6">
                  <c:v>7.6700000000000008</c:v>
                </c:pt>
                <c:pt idx="7">
                  <c:v>5.5699999999999994</c:v>
                </c:pt>
                <c:pt idx="8">
                  <c:v>4.8600000000000003</c:v>
                </c:pt>
                <c:pt idx="9">
                  <c:v>3.4899999999999998</c:v>
                </c:pt>
                <c:pt idx="10">
                  <c:v>2.16</c:v>
                </c:pt>
                <c:pt idx="11">
                  <c:v>1.18</c:v>
                </c:pt>
                <c:pt idx="12">
                  <c:v>0.64</c:v>
                </c:pt>
              </c:numCache>
            </c:numRef>
          </c:val>
          <c:extLst>
            <c:ext xmlns:c16="http://schemas.microsoft.com/office/drawing/2014/chart" uri="{C3380CC4-5D6E-409C-BE32-E72D297353CC}">
              <c16:uniqueId val="{00000000-7F8E-4A0B-BEAB-A0C8E25CF621}"/>
            </c:ext>
          </c:extLst>
        </c:ser>
        <c:dLbls>
          <c:showLegendKey val="0"/>
          <c:showVal val="0"/>
          <c:showCatName val="0"/>
          <c:showSerName val="0"/>
          <c:showPercent val="0"/>
          <c:showBubbleSize val="0"/>
        </c:dLbls>
        <c:gapWidth val="150"/>
        <c:axId val="190427136"/>
        <c:axId val="190428672"/>
      </c:barChart>
      <c:catAx>
        <c:axId val="190427136"/>
        <c:scaling>
          <c:orientation val="minMax"/>
        </c:scaling>
        <c:delete val="0"/>
        <c:axPos val="b"/>
        <c:numFmt formatCode="General" sourceLinked="0"/>
        <c:majorTickMark val="out"/>
        <c:minorTickMark val="none"/>
        <c:tickLblPos val="nextTo"/>
        <c:crossAx val="190428672"/>
        <c:crosses val="autoZero"/>
        <c:auto val="1"/>
        <c:lblAlgn val="ctr"/>
        <c:lblOffset val="100"/>
        <c:noMultiLvlLbl val="0"/>
      </c:catAx>
      <c:valAx>
        <c:axId val="190428672"/>
        <c:scaling>
          <c:orientation val="minMax"/>
        </c:scaling>
        <c:delete val="0"/>
        <c:axPos val="l"/>
        <c:majorGridlines/>
        <c:numFmt formatCode="General" sourceLinked="1"/>
        <c:majorTickMark val="out"/>
        <c:minorTickMark val="none"/>
        <c:tickLblPos val="nextTo"/>
        <c:crossAx val="190427136"/>
        <c:crosses val="autoZero"/>
        <c:crossBetween val="between"/>
      </c:valAx>
    </c:plotArea>
    <c:legend>
      <c:legendPos val="r"/>
      <c:overlay val="0"/>
    </c:legend>
    <c:plotVisOnly val="1"/>
    <c:dispBlanksAs val="gap"/>
    <c:showDLblsOverMax val="0"/>
  </c:chart>
  <c:spPr>
    <a:solidFill>
      <a:schemeClr val="tx1">
        <a:lumMod val="50000"/>
        <a:lumOff val="50000"/>
      </a:schemeClr>
    </a:solidFill>
  </c:sp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5G.xlsm]plan_revnue!PivotTable3</c:name>
    <c:fmtId val="0"/>
  </c:pivotSource>
  <c:chart>
    <c:title>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pivotFmt>
      <c:pivotFmt>
        <c:idx val="78"/>
      </c:pivotFmt>
      <c:pivotFmt>
        <c:idx val="79"/>
        <c:dLbl>
          <c:idx val="0"/>
          <c:delete val="1"/>
          <c:extLst>
            <c:ext xmlns:c15="http://schemas.microsoft.com/office/drawing/2012/chart" uri="{CE6537A1-D6FC-4f65-9D91-7224C49458BB}"/>
          </c:extLst>
        </c:dLbl>
      </c:pivotFmt>
      <c:pivotFmt>
        <c:idx val="80"/>
        <c:dLbl>
          <c:idx val="0"/>
          <c:delete val="1"/>
          <c:extLst>
            <c:ext xmlns:c15="http://schemas.microsoft.com/office/drawing/2012/chart" uri="{CE6537A1-D6FC-4f65-9D91-7224C49458BB}"/>
          </c:extLst>
        </c:dLbl>
      </c:pivotFmt>
    </c:pivotFmts>
    <c:plotArea>
      <c:layout/>
      <c:lineChart>
        <c:grouping val="standard"/>
        <c:varyColors val="0"/>
        <c:ser>
          <c:idx val="0"/>
          <c:order val="0"/>
          <c:tx>
            <c:strRef>
              <c:f>plan_revnue!$AA$5:$AA$6</c:f>
              <c:strCache>
                <c:ptCount val="1"/>
                <c:pt idx="0">
                  <c:v>p12</c:v>
                </c:pt>
              </c:strCache>
            </c:strRef>
          </c:tx>
          <c:cat>
            <c:strRef>
              <c:f>plan_revnue!$Z$7:$Z$11</c:f>
              <c:strCache>
                <c:ptCount val="4"/>
                <c:pt idx="0">
                  <c:v>01-Jun-22</c:v>
                </c:pt>
                <c:pt idx="1">
                  <c:v>01-Jul-22</c:v>
                </c:pt>
                <c:pt idx="2">
                  <c:v>01-Aug-22</c:v>
                </c:pt>
                <c:pt idx="3">
                  <c:v>01-Sep-22</c:v>
                </c:pt>
              </c:strCache>
            </c:strRef>
          </c:cat>
          <c:val>
            <c:numRef>
              <c:f>plan_revnue!$AA$7:$AA$11</c:f>
              <c:numCache>
                <c:formatCode>General</c:formatCode>
                <c:ptCount val="4"/>
                <c:pt idx="0">
                  <c:v>0.57999999999999996</c:v>
                </c:pt>
                <c:pt idx="1">
                  <c:v>0.93</c:v>
                </c:pt>
                <c:pt idx="2">
                  <c:v>1.36</c:v>
                </c:pt>
                <c:pt idx="3">
                  <c:v>0.71</c:v>
                </c:pt>
              </c:numCache>
            </c:numRef>
          </c:val>
          <c:smooth val="0"/>
          <c:extLst>
            <c:ext xmlns:c16="http://schemas.microsoft.com/office/drawing/2014/chart" uri="{C3380CC4-5D6E-409C-BE32-E72D297353CC}">
              <c16:uniqueId val="{00000000-8D3A-44F8-9F29-0FBF996FDE18}"/>
            </c:ext>
          </c:extLst>
        </c:ser>
        <c:dLbls>
          <c:showLegendKey val="0"/>
          <c:showVal val="0"/>
          <c:showCatName val="0"/>
          <c:showSerName val="0"/>
          <c:showPercent val="0"/>
          <c:showBubbleSize val="0"/>
        </c:dLbls>
        <c:marker val="1"/>
        <c:smooth val="0"/>
        <c:axId val="193996672"/>
        <c:axId val="193998208"/>
      </c:lineChart>
      <c:catAx>
        <c:axId val="193996672"/>
        <c:scaling>
          <c:orientation val="minMax"/>
        </c:scaling>
        <c:delete val="0"/>
        <c:axPos val="b"/>
        <c:numFmt formatCode="General" sourceLinked="0"/>
        <c:majorTickMark val="out"/>
        <c:minorTickMark val="none"/>
        <c:tickLblPos val="nextTo"/>
        <c:crossAx val="193998208"/>
        <c:crosses val="autoZero"/>
        <c:auto val="1"/>
        <c:lblAlgn val="ctr"/>
        <c:lblOffset val="100"/>
        <c:noMultiLvlLbl val="0"/>
      </c:catAx>
      <c:valAx>
        <c:axId val="193998208"/>
        <c:scaling>
          <c:orientation val="minMax"/>
        </c:scaling>
        <c:delete val="0"/>
        <c:axPos val="l"/>
        <c:majorGridlines/>
        <c:numFmt formatCode="General" sourceLinked="1"/>
        <c:majorTickMark val="out"/>
        <c:minorTickMark val="none"/>
        <c:tickLblPos val="nextTo"/>
        <c:crossAx val="1939966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3"/>
    </mc:Choice>
    <mc:Fallback>
      <c:style val="33"/>
    </mc:Fallback>
  </mc:AlternateContent>
  <c:pivotSource>
    <c:name>[PROJECT 5G.xlsm]plan_revnue!PivotTable3</c:name>
    <c:fmtId val="2"/>
  </c:pivotSource>
  <c:chart>
    <c:title>
      <c:overlay val="0"/>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dLbl>
          <c:idx val="0"/>
          <c:delete val="1"/>
          <c:extLst>
            <c:ext xmlns:c15="http://schemas.microsoft.com/office/drawing/2012/chart" uri="{CE6537A1-D6FC-4f65-9D91-7224C49458BB}"/>
          </c:extLst>
        </c:dLbl>
      </c:pivotFmt>
      <c:pivotFmt>
        <c:idx val="77"/>
      </c:pivotFmt>
      <c:pivotFmt>
        <c:idx val="78"/>
      </c:pivotFmt>
      <c:pivotFmt>
        <c:idx val="79"/>
      </c:pivotFmt>
      <c:pivotFmt>
        <c:idx val="80"/>
      </c:pivotFmt>
      <c:pivotFmt>
        <c:idx val="81"/>
      </c:pivotFmt>
      <c:pivotFmt>
        <c:idx val="82"/>
      </c:pivotFmt>
      <c:pivotFmt>
        <c:idx val="83"/>
      </c:pivotFmt>
      <c:pivotFmt>
        <c:idx val="84"/>
      </c:pivotFmt>
      <c:pivotFmt>
        <c:idx val="85"/>
      </c:pivotFmt>
      <c:pivotFmt>
        <c:idx val="86"/>
      </c:pivotFmt>
      <c:pivotFmt>
        <c:idx val="87"/>
        <c:dLbl>
          <c:idx val="0"/>
          <c:delete val="1"/>
          <c:extLst>
            <c:ext xmlns:c15="http://schemas.microsoft.com/office/drawing/2012/chart" uri="{CE6537A1-D6FC-4f65-9D91-7224C49458BB}"/>
          </c:extLst>
        </c:dLbl>
      </c:pivotFmt>
    </c:pivotFmts>
    <c:plotArea>
      <c:layout>
        <c:manualLayout>
          <c:layoutTarget val="inner"/>
          <c:xMode val="edge"/>
          <c:yMode val="edge"/>
          <c:x val="0.18400352353216123"/>
          <c:y val="0.25842622039933033"/>
          <c:w val="0.59850465609607018"/>
          <c:h val="0.45543979704486798"/>
        </c:manualLayout>
      </c:layout>
      <c:lineChart>
        <c:grouping val="standard"/>
        <c:varyColors val="0"/>
        <c:ser>
          <c:idx val="0"/>
          <c:order val="0"/>
          <c:tx>
            <c:strRef>
              <c:f>plan_revnue!$AA$5:$AA$6</c:f>
              <c:strCache>
                <c:ptCount val="1"/>
                <c:pt idx="0">
                  <c:v>p12</c:v>
                </c:pt>
              </c:strCache>
            </c:strRef>
          </c:tx>
          <c:cat>
            <c:strRef>
              <c:f>plan_revnue!$Z$7:$Z$11</c:f>
              <c:strCache>
                <c:ptCount val="4"/>
                <c:pt idx="0">
                  <c:v>01-Jun-22</c:v>
                </c:pt>
                <c:pt idx="1">
                  <c:v>01-Jul-22</c:v>
                </c:pt>
                <c:pt idx="2">
                  <c:v>01-Aug-22</c:v>
                </c:pt>
                <c:pt idx="3">
                  <c:v>01-Sep-22</c:v>
                </c:pt>
              </c:strCache>
            </c:strRef>
          </c:cat>
          <c:val>
            <c:numRef>
              <c:f>plan_revnue!$AA$7:$AA$11</c:f>
              <c:numCache>
                <c:formatCode>General</c:formatCode>
                <c:ptCount val="4"/>
                <c:pt idx="0">
                  <c:v>0.57999999999999996</c:v>
                </c:pt>
                <c:pt idx="1">
                  <c:v>0.93</c:v>
                </c:pt>
                <c:pt idx="2">
                  <c:v>1.36</c:v>
                </c:pt>
                <c:pt idx="3">
                  <c:v>0.71</c:v>
                </c:pt>
              </c:numCache>
            </c:numRef>
          </c:val>
          <c:smooth val="0"/>
          <c:extLst>
            <c:ext xmlns:c16="http://schemas.microsoft.com/office/drawing/2014/chart" uri="{C3380CC4-5D6E-409C-BE32-E72D297353CC}">
              <c16:uniqueId val="{00000000-B2AC-49E8-BE7F-FF8597920667}"/>
            </c:ext>
          </c:extLst>
        </c:ser>
        <c:dLbls>
          <c:showLegendKey val="0"/>
          <c:showVal val="0"/>
          <c:showCatName val="0"/>
          <c:showSerName val="0"/>
          <c:showPercent val="0"/>
          <c:showBubbleSize val="0"/>
        </c:dLbls>
        <c:marker val="1"/>
        <c:smooth val="0"/>
        <c:axId val="192098304"/>
        <c:axId val="192099840"/>
      </c:lineChart>
      <c:catAx>
        <c:axId val="192098304"/>
        <c:scaling>
          <c:orientation val="minMax"/>
        </c:scaling>
        <c:delete val="0"/>
        <c:axPos val="b"/>
        <c:numFmt formatCode="General" sourceLinked="0"/>
        <c:majorTickMark val="out"/>
        <c:minorTickMark val="none"/>
        <c:tickLblPos val="nextTo"/>
        <c:crossAx val="192099840"/>
        <c:crosses val="autoZero"/>
        <c:auto val="1"/>
        <c:lblAlgn val="ctr"/>
        <c:lblOffset val="100"/>
        <c:noMultiLvlLbl val="0"/>
      </c:catAx>
      <c:valAx>
        <c:axId val="192099840"/>
        <c:scaling>
          <c:orientation val="minMax"/>
        </c:scaling>
        <c:delete val="0"/>
        <c:axPos val="l"/>
        <c:majorGridlines/>
        <c:numFmt formatCode="General" sourceLinked="1"/>
        <c:majorTickMark val="out"/>
        <c:minorTickMark val="none"/>
        <c:tickLblPos val="nextTo"/>
        <c:crossAx val="192098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dropZoneSeries val="1"/>
      </c14:pivotOptions>
    </c:ext>
  </c:extLst>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3.xml.rels><?xml version="1.0" encoding="UTF-8" standalone="yes"?>
<Relationships xmlns="http://schemas.openxmlformats.org/package/2006/relationships"><Relationship Id="rId3" Type="http://schemas.openxmlformats.org/officeDocument/2006/relationships/hyperlink" Target="#DASHBOARD!A1"/><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chart" Target="../charts/chart12.xml"/><Relationship Id="rId4"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3" Type="http://schemas.openxmlformats.org/officeDocument/2006/relationships/hyperlink" Target="#DASHBOARD!A1"/><Relationship Id="rId2" Type="http://schemas.openxmlformats.org/officeDocument/2006/relationships/chart" Target="../charts/chart14.xml"/><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6.xml"/><Relationship Id="rId2" Type="http://schemas.openxmlformats.org/officeDocument/2006/relationships/chart" Target="../charts/chart15.xml"/><Relationship Id="rId1" Type="http://schemas.openxmlformats.org/officeDocument/2006/relationships/hyperlink" Target="#DASHBOARD!A1"/><Relationship Id="rId5" Type="http://schemas.openxmlformats.org/officeDocument/2006/relationships/chart" Target="../charts/chart18.xml"/><Relationship Id="rId4" Type="http://schemas.openxmlformats.org/officeDocument/2006/relationships/chart" Target="../charts/chart17.xml"/></Relationships>
</file>

<file path=xl/drawings/_rels/drawing11.xml.rels><?xml version="1.0" encoding="UTF-8" standalone="yes"?>
<Relationships xmlns="http://schemas.openxmlformats.org/package/2006/relationships"><Relationship Id="rId3" Type="http://schemas.openxmlformats.org/officeDocument/2006/relationships/hyperlink" Target="#plan_revnue!A1"/><Relationship Id="rId2" Type="http://schemas.openxmlformats.org/officeDocument/2006/relationships/hyperlink" Target="#'market share'!A1"/><Relationship Id="rId1" Type="http://schemas.openxmlformats.org/officeDocument/2006/relationships/hyperlink" Target="#'atliqo metrics'!A1"/><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13</xdr:row>
      <xdr:rowOff>66675</xdr:rowOff>
    </xdr:from>
    <xdr:to>
      <xdr:col>4</xdr:col>
      <xdr:colOff>476250</xdr:colOff>
      <xdr:row>27</xdr:row>
      <xdr:rowOff>142875</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238125</xdr:colOff>
      <xdr:row>0</xdr:row>
      <xdr:rowOff>0</xdr:rowOff>
    </xdr:from>
    <xdr:to>
      <xdr:col>6</xdr:col>
      <xdr:colOff>133350</xdr:colOff>
      <xdr:row>13</xdr:row>
      <xdr:rowOff>47625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3362325" y="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590550</xdr:colOff>
      <xdr:row>13</xdr:row>
      <xdr:rowOff>38100</xdr:rowOff>
    </xdr:from>
    <xdr:to>
      <xdr:col>7</xdr:col>
      <xdr:colOff>561975</xdr:colOff>
      <xdr:row>26</xdr:row>
      <xdr:rowOff>85725</xdr:rowOff>
    </xdr:to>
    <mc:AlternateContent xmlns:mc="http://schemas.openxmlformats.org/markup-compatibility/2006" xmlns:a14="http://schemas.microsoft.com/office/drawing/2010/main">
      <mc:Choice Requires="a14">
        <xdr:graphicFrame macro="">
          <xdr:nvGraphicFramePr>
            <xdr:cNvPr id="4" name="5g">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microsoft.com/office/drawing/2010/slicer">
              <sle:slicer xmlns:sle="http://schemas.microsoft.com/office/drawing/2010/slicer" name="5g"/>
            </a:graphicData>
          </a:graphic>
        </xdr:graphicFrame>
      </mc:Choice>
      <mc:Fallback xmlns="">
        <xdr:sp macro="" textlink="">
          <xdr:nvSpPr>
            <xdr:cNvPr id="0" name=""/>
            <xdr:cNvSpPr>
              <a:spLocks noTextEdit="1"/>
            </xdr:cNvSpPr>
          </xdr:nvSpPr>
          <xdr:spPr>
            <a:xfrm>
              <a:off x="4324350" y="25146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152400</xdr:colOff>
      <xdr:row>20</xdr:row>
      <xdr:rowOff>85725</xdr:rowOff>
    </xdr:from>
    <xdr:to>
      <xdr:col>7</xdr:col>
      <xdr:colOff>762000</xdr:colOff>
      <xdr:row>33</xdr:row>
      <xdr:rowOff>133350</xdr:rowOff>
    </xdr:to>
    <mc:AlternateContent xmlns:mc="http://schemas.openxmlformats.org/markup-compatibility/2006" xmlns:a14="http://schemas.microsoft.com/office/drawing/2010/main">
      <mc:Choice Requires="a14">
        <xdr:graphicFrame macro="">
          <xdr:nvGraphicFramePr>
            <xdr:cNvPr id="5" name="CITY">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4495800" y="389572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3</xdr:col>
      <xdr:colOff>476250</xdr:colOff>
      <xdr:row>89</xdr:row>
      <xdr:rowOff>85725</xdr:rowOff>
    </xdr:from>
    <xdr:to>
      <xdr:col>10</xdr:col>
      <xdr:colOff>781050</xdr:colOff>
      <xdr:row>103</xdr:row>
      <xdr:rowOff>161925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247650</xdr:colOff>
      <xdr:row>109</xdr:row>
      <xdr:rowOff>85725</xdr:rowOff>
    </xdr:from>
    <xdr:to>
      <xdr:col>9</xdr:col>
      <xdr:colOff>342900</xdr:colOff>
      <xdr:row>123</xdr:row>
      <xdr:rowOff>161925</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148</xdr:row>
      <xdr:rowOff>152400</xdr:rowOff>
    </xdr:from>
    <xdr:to>
      <xdr:col>7</xdr:col>
      <xdr:colOff>552450</xdr:colOff>
      <xdr:row>163</xdr:row>
      <xdr:rowOff>38100</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647700</xdr:colOff>
      <xdr:row>128</xdr:row>
      <xdr:rowOff>95250</xdr:rowOff>
    </xdr:from>
    <xdr:to>
      <xdr:col>12</xdr:col>
      <xdr:colOff>304800</xdr:colOff>
      <xdr:row>142</xdr:row>
      <xdr:rowOff>171450</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619125</xdr:colOff>
      <xdr:row>171</xdr:row>
      <xdr:rowOff>161925</xdr:rowOff>
    </xdr:from>
    <xdr:to>
      <xdr:col>16</xdr:col>
      <xdr:colOff>447675</xdr:colOff>
      <xdr:row>186</xdr:row>
      <xdr:rowOff>47625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504825</xdr:colOff>
      <xdr:row>8</xdr:row>
      <xdr:rowOff>47625</xdr:rowOff>
    </xdr:from>
    <xdr:to>
      <xdr:col>9</xdr:col>
      <xdr:colOff>333375</xdr:colOff>
      <xdr:row>25</xdr:row>
      <xdr:rowOff>9525</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114300</xdr:colOff>
      <xdr:row>2</xdr:row>
      <xdr:rowOff>9525</xdr:rowOff>
    </xdr:from>
    <xdr:to>
      <xdr:col>12</xdr:col>
      <xdr:colOff>390525</xdr:colOff>
      <xdr:row>15</xdr:row>
      <xdr:rowOff>57150</xdr:rowOff>
    </xdr:to>
    <mc:AlternateContent xmlns:mc="http://schemas.openxmlformats.org/markup-compatibility/2006" xmlns:a14="http://schemas.microsoft.com/office/drawing/2010/main">
      <mc:Choice Requires="a14">
        <xdr:graphicFrame macro="">
          <xdr:nvGraphicFramePr>
            <xdr:cNvPr id="4" name="CITY 1">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mlns="">
        <xdr:sp macro="" textlink="">
          <xdr:nvSpPr>
            <xdr:cNvPr id="0" name=""/>
            <xdr:cNvSpPr>
              <a:spLocks noTextEdit="1"/>
            </xdr:cNvSpPr>
          </xdr:nvSpPr>
          <xdr:spPr>
            <a:xfrm>
              <a:off x="6838950" y="39052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647700</xdr:colOff>
      <xdr:row>7</xdr:row>
      <xdr:rowOff>142875</xdr:rowOff>
    </xdr:from>
    <xdr:to>
      <xdr:col>3</xdr:col>
      <xdr:colOff>257175</xdr:colOff>
      <xdr:row>21</xdr:row>
      <xdr:rowOff>0</xdr:rowOff>
    </xdr:to>
    <mc:AlternateContent xmlns:mc="http://schemas.openxmlformats.org/markup-compatibility/2006" xmlns:a14="http://schemas.microsoft.com/office/drawing/2010/main">
      <mc:Choice Requires="a14">
        <xdr:graphicFrame macro="">
          <xdr:nvGraphicFramePr>
            <xdr:cNvPr id="5" name="date 1">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microsoft.com/office/drawing/2010/slicer">
              <sle:slicer xmlns:sle="http://schemas.microsoft.com/office/drawing/2010/slicer" name="date 1"/>
            </a:graphicData>
          </a:graphic>
        </xdr:graphicFrame>
      </mc:Choice>
      <mc:Fallback xmlns="">
        <xdr:sp macro="" textlink="">
          <xdr:nvSpPr>
            <xdr:cNvPr id="0" name=""/>
            <xdr:cNvSpPr>
              <a:spLocks noTextEdit="1"/>
            </xdr:cNvSpPr>
          </xdr:nvSpPr>
          <xdr:spPr>
            <a:xfrm>
              <a:off x="1524000" y="147637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4</xdr:col>
      <xdr:colOff>419100</xdr:colOff>
      <xdr:row>26</xdr:row>
      <xdr:rowOff>133350</xdr:rowOff>
    </xdr:from>
    <xdr:to>
      <xdr:col>11</xdr:col>
      <xdr:colOff>85725</xdr:colOff>
      <xdr:row>41</xdr:row>
      <xdr:rowOff>19050</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48509</xdr:colOff>
      <xdr:row>6</xdr:row>
      <xdr:rowOff>91808</xdr:rowOff>
    </xdr:from>
    <xdr:to>
      <xdr:col>3</xdr:col>
      <xdr:colOff>490853</xdr:colOff>
      <xdr:row>21</xdr:row>
      <xdr:rowOff>135102</xdr:rowOff>
    </xdr:to>
    <mc:AlternateContent xmlns:mc="http://schemas.openxmlformats.org/markup-compatibility/2006" xmlns:a14="http://schemas.microsoft.com/office/drawing/2010/main">
      <mc:Choice Requires="a14">
        <xdr:graphicFrame macro="">
          <xdr:nvGraphicFramePr>
            <xdr:cNvPr id="2" name="date 3">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0/slicer">
              <sle:slicer xmlns:sle="http://schemas.microsoft.com/office/drawing/2010/slicer" name="date 3"/>
            </a:graphicData>
          </a:graphic>
        </xdr:graphicFrame>
      </mc:Choice>
      <mc:Fallback xmlns="">
        <xdr:sp macro="" textlink="">
          <xdr:nvSpPr>
            <xdr:cNvPr id="0" name=""/>
            <xdr:cNvSpPr>
              <a:spLocks noTextEdit="1"/>
            </xdr:cNvSpPr>
          </xdr:nvSpPr>
          <xdr:spPr>
            <a:xfrm>
              <a:off x="656732" y="872169"/>
              <a:ext cx="1658790" cy="2969650"/>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76786</xdr:colOff>
      <xdr:row>22</xdr:row>
      <xdr:rowOff>72507</xdr:rowOff>
    </xdr:from>
    <xdr:to>
      <xdr:col>3</xdr:col>
      <xdr:colOff>435234</xdr:colOff>
      <xdr:row>27</xdr:row>
      <xdr:rowOff>46819</xdr:rowOff>
    </xdr:to>
    <mc:AlternateContent xmlns:mc="http://schemas.openxmlformats.org/markup-compatibility/2006" xmlns:a14="http://schemas.microsoft.com/office/drawing/2010/main">
      <mc:Choice Requires="a14">
        <xdr:graphicFrame macro="">
          <xdr:nvGraphicFramePr>
            <xdr:cNvPr id="3" name="5g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microsoft.com/office/drawing/2010/slicer">
              <sle:slicer xmlns:sle="http://schemas.microsoft.com/office/drawing/2010/slicer" name="5g 2"/>
            </a:graphicData>
          </a:graphic>
        </xdr:graphicFrame>
      </mc:Choice>
      <mc:Fallback xmlns="">
        <xdr:sp macro="" textlink="">
          <xdr:nvSpPr>
            <xdr:cNvPr id="0" name=""/>
            <xdr:cNvSpPr>
              <a:spLocks noTextEdit="1"/>
            </xdr:cNvSpPr>
          </xdr:nvSpPr>
          <xdr:spPr>
            <a:xfrm>
              <a:off x="685009" y="3974314"/>
              <a:ext cx="1574894" cy="949764"/>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489339</xdr:colOff>
      <xdr:row>6</xdr:row>
      <xdr:rowOff>5843</xdr:rowOff>
    </xdr:from>
    <xdr:to>
      <xdr:col>23</xdr:col>
      <xdr:colOff>567813</xdr:colOff>
      <xdr:row>31</xdr:row>
      <xdr:rowOff>46252</xdr:rowOff>
    </xdr:to>
    <mc:AlternateContent xmlns:mc="http://schemas.openxmlformats.org/markup-compatibility/2006" xmlns:a14="http://schemas.microsoft.com/office/drawing/2010/main">
      <mc:Choice Requires="a14">
        <xdr:graphicFrame macro="">
          <xdr:nvGraphicFramePr>
            <xdr:cNvPr id="4" name="CITY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microsoft.com/office/drawing/2010/slicer">
              <sle:slicer xmlns:sle="http://schemas.microsoft.com/office/drawing/2010/slicer" name="CITY 3"/>
            </a:graphicData>
          </a:graphic>
        </xdr:graphicFrame>
      </mc:Choice>
      <mc:Fallback xmlns="">
        <xdr:sp macro="" textlink="">
          <xdr:nvSpPr>
            <xdr:cNvPr id="0" name=""/>
            <xdr:cNvSpPr>
              <a:spLocks noTextEdit="1"/>
            </xdr:cNvSpPr>
          </xdr:nvSpPr>
          <xdr:spPr>
            <a:xfrm>
              <a:off x="12734128" y="786204"/>
              <a:ext cx="1903143" cy="4917668"/>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3</xdr:row>
      <xdr:rowOff>171450</xdr:rowOff>
    </xdr:from>
    <xdr:to>
      <xdr:col>24</xdr:col>
      <xdr:colOff>562319</xdr:colOff>
      <xdr:row>5</xdr:row>
      <xdr:rowOff>133350</xdr:rowOff>
    </xdr:to>
    <xdr:sp macro="" textlink="">
      <xdr:nvSpPr>
        <xdr:cNvPr id="7" name="Rectangle 6">
          <a:extLst>
            <a:ext uri="{FF2B5EF4-FFF2-40B4-BE49-F238E27FC236}">
              <a16:creationId xmlns:a16="http://schemas.microsoft.com/office/drawing/2014/main" id="{00000000-0008-0000-0900-000007000000}"/>
            </a:ext>
          </a:extLst>
        </xdr:cNvPr>
        <xdr:cNvSpPr/>
      </xdr:nvSpPr>
      <xdr:spPr>
        <a:xfrm>
          <a:off x="0" y="366540"/>
          <a:ext cx="15240000" cy="352081"/>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IN" sz="1600">
              <a:latin typeface="Arial Black" pitchFamily="34" charset="0"/>
            </a:rPr>
            <a:t>ATLIQO</a:t>
          </a:r>
          <a:r>
            <a:rPr lang="en-IN" sz="1600" baseline="0">
              <a:latin typeface="Arial Black" pitchFamily="34" charset="0"/>
            </a:rPr>
            <a:t> METRICS</a:t>
          </a:r>
          <a:endParaRPr lang="en-IN" sz="1600">
            <a:latin typeface="Arial Black" pitchFamily="34" charset="0"/>
          </a:endParaRPr>
        </a:p>
      </xdr:txBody>
    </xdr:sp>
    <xdr:clientData/>
  </xdr:twoCellAnchor>
  <xdr:twoCellAnchor>
    <xdr:from>
      <xdr:col>4</xdr:col>
      <xdr:colOff>132787</xdr:colOff>
      <xdr:row>24</xdr:row>
      <xdr:rowOff>15149</xdr:rowOff>
    </xdr:from>
    <xdr:to>
      <xdr:col>12</xdr:col>
      <xdr:colOff>321323</xdr:colOff>
      <xdr:row>36</xdr:row>
      <xdr:rowOff>114761</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475555</xdr:colOff>
      <xdr:row>24</xdr:row>
      <xdr:rowOff>15704</xdr:rowOff>
    </xdr:from>
    <xdr:to>
      <xdr:col>20</xdr:col>
      <xdr:colOff>71503</xdr:colOff>
      <xdr:row>36</xdr:row>
      <xdr:rowOff>103284</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114759</xdr:colOff>
      <xdr:row>4</xdr:row>
      <xdr:rowOff>68166</xdr:rowOff>
    </xdr:from>
    <xdr:to>
      <xdr:col>3</xdr:col>
      <xdr:colOff>306636</xdr:colOff>
      <xdr:row>5</xdr:row>
      <xdr:rowOff>54051</xdr:rowOff>
    </xdr:to>
    <xdr:sp macro="" textlink="">
      <xdr:nvSpPr>
        <xdr:cNvPr id="12" name="Rectangle 11">
          <a:hlinkClick xmlns:r="http://schemas.openxmlformats.org/officeDocument/2006/relationships" r:id="rId3"/>
          <a:extLst>
            <a:ext uri="{FF2B5EF4-FFF2-40B4-BE49-F238E27FC236}">
              <a16:creationId xmlns:a16="http://schemas.microsoft.com/office/drawing/2014/main" id="{00000000-0008-0000-0900-00000C000000}"/>
            </a:ext>
          </a:extLst>
        </xdr:cNvPr>
        <xdr:cNvSpPr/>
      </xdr:nvSpPr>
      <xdr:spPr>
        <a:xfrm>
          <a:off x="1331205" y="68166"/>
          <a:ext cx="800100" cy="1809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IN" sz="1100"/>
            <a:t>HOME</a:t>
          </a:r>
        </a:p>
      </xdr:txBody>
    </xdr:sp>
    <xdr:clientData/>
  </xdr:twoCellAnchor>
  <xdr:twoCellAnchor>
    <xdr:from>
      <xdr:col>4</xdr:col>
      <xdr:colOff>149186</xdr:colOff>
      <xdr:row>10</xdr:row>
      <xdr:rowOff>57379</xdr:rowOff>
    </xdr:from>
    <xdr:to>
      <xdr:col>12</xdr:col>
      <xdr:colOff>344276</xdr:colOff>
      <xdr:row>23</xdr:row>
      <xdr:rowOff>103742</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481988</xdr:colOff>
      <xdr:row>10</xdr:row>
      <xdr:rowOff>22952</xdr:rowOff>
    </xdr:from>
    <xdr:to>
      <xdr:col>20</xdr:col>
      <xdr:colOff>27542</xdr:colOff>
      <xdr:row>23</xdr:row>
      <xdr:rowOff>126234</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0.21564</cdr:x>
      <cdr:y>0.10846</cdr:y>
    </cdr:from>
    <cdr:to>
      <cdr:x>0.69518</cdr:x>
      <cdr:y>0.18138</cdr:y>
    </cdr:to>
    <cdr:sp macro="" textlink="">
      <cdr:nvSpPr>
        <cdr:cNvPr id="2" name="TextBox 1"/>
        <cdr:cNvSpPr txBox="1"/>
      </cdr:nvSpPr>
      <cdr:spPr>
        <a:xfrm xmlns:a="http://schemas.openxmlformats.org/drawingml/2006/main">
          <a:off x="1007933" y="304096"/>
          <a:ext cx="2241455" cy="20445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1100"/>
            <a:t>           ACTIVE USERS IN</a:t>
          </a:r>
          <a:r>
            <a:rPr lang="en-IN" sz="1100" baseline="0"/>
            <a:t> LAKHS</a:t>
          </a:r>
          <a:endParaRPr lang="en-IN" sz="1100"/>
        </a:p>
      </cdr:txBody>
    </cdr:sp>
  </cdr:relSizeAnchor>
</c:userShapes>
</file>

<file path=xl/drawings/drawing5.xml><?xml version="1.0" encoding="utf-8"?>
<c:userShapes xmlns:c="http://schemas.openxmlformats.org/drawingml/2006/chart">
  <cdr:relSizeAnchor xmlns:cdr="http://schemas.openxmlformats.org/drawingml/2006/chartDrawing">
    <cdr:from>
      <cdr:x>0.25977</cdr:x>
      <cdr:y>0.12418</cdr:y>
    </cdr:from>
    <cdr:to>
      <cdr:x>0.7958</cdr:x>
      <cdr:y>0.20233</cdr:y>
    </cdr:to>
    <cdr:sp macro="" textlink="">
      <cdr:nvSpPr>
        <cdr:cNvPr id="2" name="TextBox 1"/>
        <cdr:cNvSpPr txBox="1"/>
      </cdr:nvSpPr>
      <cdr:spPr>
        <a:xfrm xmlns:a="http://schemas.openxmlformats.org/drawingml/2006/main">
          <a:off x="1101552" y="361172"/>
          <a:ext cx="2273028" cy="22729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1100"/>
            <a:t>UNSUBSCRIBED USERS IN LAKHS</a:t>
          </a:r>
        </a:p>
      </cdr:txBody>
    </cdr:sp>
  </cdr:relSizeAnchor>
</c:userShapes>
</file>

<file path=xl/drawings/drawing6.xml><?xml version="1.0" encoding="utf-8"?>
<c:userShapes xmlns:c="http://schemas.openxmlformats.org/drawingml/2006/chart">
  <cdr:relSizeAnchor xmlns:cdr="http://schemas.openxmlformats.org/drawingml/2006/chartDrawing">
    <cdr:from>
      <cdr:x>0.33256</cdr:x>
      <cdr:y>0.15692</cdr:y>
    </cdr:from>
    <cdr:to>
      <cdr:x>0.82679</cdr:x>
      <cdr:y>0.24659</cdr:y>
    </cdr:to>
    <cdr:sp macro="" textlink="">
      <cdr:nvSpPr>
        <cdr:cNvPr id="2" name="TextBox 1"/>
        <cdr:cNvSpPr txBox="1"/>
      </cdr:nvSpPr>
      <cdr:spPr>
        <a:xfrm xmlns:a="http://schemas.openxmlformats.org/drawingml/2006/main">
          <a:off x="1652528" y="401656"/>
          <a:ext cx="2455844" cy="2295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1100"/>
            <a:t>ATLIQO REVENUE </a:t>
          </a:r>
          <a:r>
            <a:rPr lang="en-IN" sz="1100" baseline="0"/>
            <a:t> CRORES</a:t>
          </a:r>
          <a:endParaRPr lang="en-IN" sz="1100"/>
        </a:p>
      </cdr:txBody>
    </cdr:sp>
  </cdr:relSizeAnchor>
</c:userShapes>
</file>

<file path=xl/drawings/drawing7.xml><?xml version="1.0" encoding="utf-8"?>
<c:userShapes xmlns:c="http://schemas.openxmlformats.org/drawingml/2006/chart">
  <cdr:relSizeAnchor xmlns:cdr="http://schemas.openxmlformats.org/drawingml/2006/chartDrawing">
    <cdr:from>
      <cdr:x>0.37813</cdr:x>
      <cdr:y>0.14348</cdr:y>
    </cdr:from>
    <cdr:to>
      <cdr:x>0.64129</cdr:x>
      <cdr:y>0.25652</cdr:y>
    </cdr:to>
    <cdr:sp macro="" textlink="">
      <cdr:nvSpPr>
        <cdr:cNvPr id="2" name="TextBox 1"/>
        <cdr:cNvSpPr txBox="1"/>
      </cdr:nvSpPr>
      <cdr:spPr>
        <a:xfrm xmlns:a="http://schemas.openxmlformats.org/drawingml/2006/main">
          <a:off x="1698433" y="378705"/>
          <a:ext cx="1182019" cy="29837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1100"/>
            <a:t>ATLIQO ARPU</a:t>
          </a:r>
        </a:p>
      </cdr:txBody>
    </cdr:sp>
  </cdr:relSizeAnchor>
</c:userShapes>
</file>

<file path=xl/drawings/drawing8.xml><?xml version="1.0" encoding="utf-8"?>
<xdr:wsDr xmlns:xdr="http://schemas.openxmlformats.org/drawingml/2006/spreadsheetDrawing" xmlns:a="http://schemas.openxmlformats.org/drawingml/2006/main">
  <xdr:twoCellAnchor>
    <xdr:from>
      <xdr:col>0</xdr:col>
      <xdr:colOff>0</xdr:colOff>
      <xdr:row>1</xdr:row>
      <xdr:rowOff>66675</xdr:rowOff>
    </xdr:from>
    <xdr:to>
      <xdr:col>22</xdr:col>
      <xdr:colOff>570881</xdr:colOff>
      <xdr:row>3</xdr:row>
      <xdr:rowOff>37756</xdr:rowOff>
    </xdr:to>
    <xdr:sp macro="" textlink="">
      <xdr:nvSpPr>
        <xdr:cNvPr id="2" name="Rectangle 1">
          <a:extLst>
            <a:ext uri="{FF2B5EF4-FFF2-40B4-BE49-F238E27FC236}">
              <a16:creationId xmlns:a16="http://schemas.microsoft.com/office/drawing/2014/main" id="{00000000-0008-0000-0A00-000002000000}"/>
            </a:ext>
          </a:extLst>
        </xdr:cNvPr>
        <xdr:cNvSpPr/>
      </xdr:nvSpPr>
      <xdr:spPr>
        <a:xfrm>
          <a:off x="0" y="66675"/>
          <a:ext cx="13982081" cy="352081"/>
        </a:xfrm>
        <a:prstGeom prst="rect">
          <a:avLst/>
        </a:prstGeom>
        <a:solidFill>
          <a:schemeClr val="bg2">
            <a:lumMod val="75000"/>
          </a:schemeClr>
        </a:solidFill>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IN" sz="1600">
              <a:latin typeface="Arial Black" pitchFamily="34" charset="0"/>
            </a:rPr>
            <a:t>MARKET</a:t>
          </a:r>
          <a:r>
            <a:rPr lang="en-IN" sz="1600" baseline="0">
              <a:latin typeface="Arial Black" pitchFamily="34" charset="0"/>
            </a:rPr>
            <a:t> SHARE</a:t>
          </a:r>
          <a:endParaRPr lang="en-IN" sz="1600">
            <a:latin typeface="Arial Black" pitchFamily="34" charset="0"/>
          </a:endParaRPr>
        </a:p>
      </xdr:txBody>
    </xdr:sp>
    <xdr:clientData/>
  </xdr:twoCellAnchor>
  <xdr:twoCellAnchor editAs="oneCell">
    <xdr:from>
      <xdr:col>0</xdr:col>
      <xdr:colOff>476250</xdr:colOff>
      <xdr:row>3</xdr:row>
      <xdr:rowOff>123824</xdr:rowOff>
    </xdr:from>
    <xdr:to>
      <xdr:col>3</xdr:col>
      <xdr:colOff>495300</xdr:colOff>
      <xdr:row>27</xdr:row>
      <xdr:rowOff>19049</xdr:rowOff>
    </xdr:to>
    <mc:AlternateContent xmlns:mc="http://schemas.openxmlformats.org/markup-compatibility/2006" xmlns:a14="http://schemas.microsoft.com/office/drawing/2010/main">
      <mc:Choice Requires="a14">
        <xdr:graphicFrame macro="">
          <xdr:nvGraphicFramePr>
            <xdr:cNvPr id="3" name="CITY 4">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microsoft.com/office/drawing/2010/slicer">
              <sle:slicer xmlns:sle="http://schemas.microsoft.com/office/drawing/2010/slicer" name="CITY 4"/>
            </a:graphicData>
          </a:graphic>
        </xdr:graphicFrame>
      </mc:Choice>
      <mc:Fallback xmlns="">
        <xdr:sp macro="" textlink="">
          <xdr:nvSpPr>
            <xdr:cNvPr id="0" name=""/>
            <xdr:cNvSpPr>
              <a:spLocks noTextEdit="1"/>
            </xdr:cNvSpPr>
          </xdr:nvSpPr>
          <xdr:spPr>
            <a:xfrm>
              <a:off x="476250" y="504824"/>
              <a:ext cx="1847850" cy="44672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66675</xdr:colOff>
      <xdr:row>3</xdr:row>
      <xdr:rowOff>161925</xdr:rowOff>
    </xdr:from>
    <xdr:to>
      <xdr:col>20</xdr:col>
      <xdr:colOff>66675</xdr:colOff>
      <xdr:row>18</xdr:row>
      <xdr:rowOff>85725</xdr:rowOff>
    </xdr:to>
    <mc:AlternateContent xmlns:mc="http://schemas.openxmlformats.org/markup-compatibility/2006" xmlns:a14="http://schemas.microsoft.com/office/drawing/2010/main">
      <mc:Choice Requires="a14">
        <xdr:graphicFrame macro="">
          <xdr:nvGraphicFramePr>
            <xdr:cNvPr id="4" name="date 4">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microsoft.com/office/drawing/2010/slicer">
              <sle:slicer xmlns:sle="http://schemas.microsoft.com/office/drawing/2010/slicer" name="date 4"/>
            </a:graphicData>
          </a:graphic>
        </xdr:graphicFrame>
      </mc:Choice>
      <mc:Fallback xmlns="">
        <xdr:sp macro="" textlink="">
          <xdr:nvSpPr>
            <xdr:cNvPr id="0" name=""/>
            <xdr:cNvSpPr>
              <a:spLocks noTextEdit="1"/>
            </xdr:cNvSpPr>
          </xdr:nvSpPr>
          <xdr:spPr>
            <a:xfrm>
              <a:off x="10429875" y="542925"/>
              <a:ext cx="1828800" cy="2781300"/>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4</xdr:col>
      <xdr:colOff>171450</xdr:colOff>
      <xdr:row>4</xdr:row>
      <xdr:rowOff>161924</xdr:rowOff>
    </xdr:from>
    <xdr:to>
      <xdr:col>10</xdr:col>
      <xdr:colOff>381000</xdr:colOff>
      <xdr:row>23</xdr:row>
      <xdr:rowOff>171449</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600075</xdr:colOff>
      <xdr:row>4</xdr:row>
      <xdr:rowOff>152400</xdr:rowOff>
    </xdr:from>
    <xdr:to>
      <xdr:col>16</xdr:col>
      <xdr:colOff>523875</xdr:colOff>
      <xdr:row>24</xdr:row>
      <xdr:rowOff>19050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66675</xdr:colOff>
      <xdr:row>1</xdr:row>
      <xdr:rowOff>133350</xdr:rowOff>
    </xdr:from>
    <xdr:to>
      <xdr:col>2</xdr:col>
      <xdr:colOff>257175</xdr:colOff>
      <xdr:row>2</xdr:row>
      <xdr:rowOff>123825</xdr:rowOff>
    </xdr:to>
    <xdr:sp macro="" textlink="">
      <xdr:nvSpPr>
        <xdr:cNvPr id="9" name="Rectangle 8">
          <a:hlinkClick xmlns:r="http://schemas.openxmlformats.org/officeDocument/2006/relationships" r:id="rId3"/>
          <a:extLst>
            <a:ext uri="{FF2B5EF4-FFF2-40B4-BE49-F238E27FC236}">
              <a16:creationId xmlns:a16="http://schemas.microsoft.com/office/drawing/2014/main" id="{00000000-0008-0000-0A00-000009000000}"/>
            </a:ext>
          </a:extLst>
        </xdr:cNvPr>
        <xdr:cNvSpPr/>
      </xdr:nvSpPr>
      <xdr:spPr>
        <a:xfrm>
          <a:off x="676275" y="133350"/>
          <a:ext cx="800100" cy="1809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IN" sz="1100"/>
            <a:t>Home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47626</xdr:colOff>
      <xdr:row>0</xdr:row>
      <xdr:rowOff>0</xdr:rowOff>
    </xdr:from>
    <xdr:to>
      <xdr:col>19</xdr:col>
      <xdr:colOff>133350</xdr:colOff>
      <xdr:row>2</xdr:row>
      <xdr:rowOff>142875</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47626" y="0"/>
          <a:ext cx="11668124" cy="333375"/>
        </a:xfrm>
        <a:prstGeom prst="rect">
          <a:avLst/>
        </a:prstGeom>
        <a:solidFill>
          <a:schemeClr val="bg2">
            <a:lumMod val="75000"/>
          </a:schemeClr>
        </a:solidFill>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IN" sz="1600">
              <a:latin typeface="Arial Black" pitchFamily="34" charset="0"/>
            </a:rPr>
            <a:t>PLAN</a:t>
          </a:r>
          <a:r>
            <a:rPr lang="en-IN" sz="1600" baseline="0">
              <a:latin typeface="Arial Black" pitchFamily="34" charset="0"/>
            </a:rPr>
            <a:t> REVENUE</a:t>
          </a:r>
          <a:endParaRPr lang="en-IN" sz="1600">
            <a:latin typeface="Arial Black" pitchFamily="34" charset="0"/>
          </a:endParaRPr>
        </a:p>
      </xdr:txBody>
    </xdr:sp>
    <xdr:clientData/>
  </xdr:twoCellAnchor>
  <xdr:twoCellAnchor>
    <xdr:from>
      <xdr:col>0</xdr:col>
      <xdr:colOff>504825</xdr:colOff>
      <xdr:row>1</xdr:row>
      <xdr:rowOff>76200</xdr:rowOff>
    </xdr:from>
    <xdr:to>
      <xdr:col>2</xdr:col>
      <xdr:colOff>85725</xdr:colOff>
      <xdr:row>2</xdr:row>
      <xdr:rowOff>66675</xdr:rowOff>
    </xdr:to>
    <xdr:sp macro="" textlink="">
      <xdr:nvSpPr>
        <xdr:cNvPr id="12" name="Rectangle 11">
          <a:hlinkClick xmlns:r="http://schemas.openxmlformats.org/officeDocument/2006/relationships" r:id="rId1"/>
          <a:extLst>
            <a:ext uri="{FF2B5EF4-FFF2-40B4-BE49-F238E27FC236}">
              <a16:creationId xmlns:a16="http://schemas.microsoft.com/office/drawing/2014/main" id="{00000000-0008-0000-0B00-00000C000000}"/>
            </a:ext>
          </a:extLst>
        </xdr:cNvPr>
        <xdr:cNvSpPr/>
      </xdr:nvSpPr>
      <xdr:spPr>
        <a:xfrm>
          <a:off x="504825" y="76200"/>
          <a:ext cx="800100" cy="1809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IN" sz="1100"/>
            <a:t>Home</a:t>
          </a:r>
        </a:p>
      </xdr:txBody>
    </xdr:sp>
    <xdr:clientData/>
  </xdr:twoCellAnchor>
  <xdr:twoCellAnchor>
    <xdr:from>
      <xdr:col>20</xdr:col>
      <xdr:colOff>242887</xdr:colOff>
      <xdr:row>19</xdr:row>
      <xdr:rowOff>9525</xdr:rowOff>
    </xdr:from>
    <xdr:to>
      <xdr:col>24</xdr:col>
      <xdr:colOff>576262</xdr:colOff>
      <xdr:row>33</xdr:row>
      <xdr:rowOff>85725</xdr:rowOff>
    </xdr:to>
    <xdr:graphicFrame macro="">
      <xdr:nvGraphicFramePr>
        <xdr:cNvPr id="6" name="Chart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381000</xdr:colOff>
      <xdr:row>3</xdr:row>
      <xdr:rowOff>66675</xdr:rowOff>
    </xdr:from>
    <xdr:to>
      <xdr:col>10</xdr:col>
      <xdr:colOff>419100</xdr:colOff>
      <xdr:row>17</xdr:row>
      <xdr:rowOff>142875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47625</xdr:colOff>
      <xdr:row>2</xdr:row>
      <xdr:rowOff>161925</xdr:rowOff>
    </xdr:from>
    <xdr:to>
      <xdr:col>3</xdr:col>
      <xdr:colOff>47625</xdr:colOff>
      <xdr:row>16</xdr:row>
      <xdr:rowOff>19050</xdr:rowOff>
    </xdr:to>
    <mc:AlternateContent xmlns:mc="http://schemas.openxmlformats.org/markup-compatibility/2006" xmlns:a14="http://schemas.microsoft.com/office/drawing/2010/main">
      <mc:Choice Requires="a14">
        <xdr:graphicFrame macro="">
          <xdr:nvGraphicFramePr>
            <xdr:cNvPr id="8" name="date 2">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microsoft.com/office/drawing/2010/slicer">
              <sle:slicer xmlns:sle="http://schemas.microsoft.com/office/drawing/2010/slicer" name="date 2"/>
            </a:graphicData>
          </a:graphic>
        </xdr:graphicFrame>
      </mc:Choice>
      <mc:Fallback xmlns="">
        <xdr:sp macro="" textlink="">
          <xdr:nvSpPr>
            <xdr:cNvPr id="0" name=""/>
            <xdr:cNvSpPr>
              <a:spLocks noTextEdit="1"/>
            </xdr:cNvSpPr>
          </xdr:nvSpPr>
          <xdr:spPr>
            <a:xfrm>
              <a:off x="47625" y="35242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28575</xdr:colOff>
      <xdr:row>16</xdr:row>
      <xdr:rowOff>57151</xdr:rowOff>
    </xdr:from>
    <xdr:to>
      <xdr:col>3</xdr:col>
      <xdr:colOff>28575</xdr:colOff>
      <xdr:row>21</xdr:row>
      <xdr:rowOff>1</xdr:rowOff>
    </xdr:to>
    <mc:AlternateContent xmlns:mc="http://schemas.openxmlformats.org/markup-compatibility/2006" xmlns:a14="http://schemas.microsoft.com/office/drawing/2010/main">
      <mc:Choice Requires="a14">
        <xdr:graphicFrame macro="">
          <xdr:nvGraphicFramePr>
            <xdr:cNvPr id="9" name="5G 1">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microsoft.com/office/drawing/2010/slicer">
              <sle:slicer xmlns:sle="http://schemas.microsoft.com/office/drawing/2010/slicer" name="5G 1"/>
            </a:graphicData>
          </a:graphic>
        </xdr:graphicFrame>
      </mc:Choice>
      <mc:Fallback xmlns="">
        <xdr:sp macro="" textlink="">
          <xdr:nvSpPr>
            <xdr:cNvPr id="0" name=""/>
            <xdr:cNvSpPr>
              <a:spLocks noTextEdit="1"/>
            </xdr:cNvSpPr>
          </xdr:nvSpPr>
          <xdr:spPr>
            <a:xfrm>
              <a:off x="28575" y="2914651"/>
              <a:ext cx="1828800" cy="895350"/>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228600</xdr:colOff>
      <xdr:row>3</xdr:row>
      <xdr:rowOff>28575</xdr:rowOff>
    </xdr:from>
    <xdr:to>
      <xdr:col>16</xdr:col>
      <xdr:colOff>57150</xdr:colOff>
      <xdr:row>26</xdr:row>
      <xdr:rowOff>133350</xdr:rowOff>
    </xdr:to>
    <mc:AlternateContent xmlns:mc="http://schemas.openxmlformats.org/markup-compatibility/2006" xmlns:a14="http://schemas.microsoft.com/office/drawing/2010/main">
      <mc:Choice Requires="a14">
        <xdr:graphicFrame macro="">
          <xdr:nvGraphicFramePr>
            <xdr:cNvPr id="13" name="CITY 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microsoft.com/office/drawing/2010/slicer">
              <sle:slicer xmlns:sle="http://schemas.microsoft.com/office/drawing/2010/slicer" name="CITY 2"/>
            </a:graphicData>
          </a:graphic>
        </xdr:graphicFrame>
      </mc:Choice>
      <mc:Fallback xmlns="">
        <xdr:sp macro="" textlink="">
          <xdr:nvSpPr>
            <xdr:cNvPr id="0" name=""/>
            <xdr:cNvSpPr>
              <a:spLocks noTextEdit="1"/>
            </xdr:cNvSpPr>
          </xdr:nvSpPr>
          <xdr:spPr>
            <a:xfrm>
              <a:off x="7543800" y="409575"/>
              <a:ext cx="2266950" cy="448627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11</xdr:col>
      <xdr:colOff>19050</xdr:colOff>
      <xdr:row>9</xdr:row>
      <xdr:rowOff>57150</xdr:rowOff>
    </xdr:from>
    <xdr:to>
      <xdr:col>12</xdr:col>
      <xdr:colOff>142875</xdr:colOff>
      <xdr:row>10</xdr:row>
      <xdr:rowOff>76200</xdr:rowOff>
    </xdr:to>
    <xdr:sp macro="[0]!clear" textlink="">
      <xdr:nvSpPr>
        <xdr:cNvPr id="4" name="Rounded Rectangle 3">
          <a:extLst>
            <a:ext uri="{FF2B5EF4-FFF2-40B4-BE49-F238E27FC236}">
              <a16:creationId xmlns:a16="http://schemas.microsoft.com/office/drawing/2014/main" id="{00000000-0008-0000-0B00-000004000000}"/>
            </a:ext>
          </a:extLst>
        </xdr:cNvPr>
        <xdr:cNvSpPr/>
      </xdr:nvSpPr>
      <xdr:spPr>
        <a:xfrm>
          <a:off x="6724650" y="1581150"/>
          <a:ext cx="733425" cy="2095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CLEAR</a:t>
          </a:r>
        </a:p>
      </xdr:txBody>
    </xdr:sp>
    <xdr:clientData/>
  </xdr:twoCellAnchor>
  <xdr:twoCellAnchor>
    <xdr:from>
      <xdr:col>10</xdr:col>
      <xdr:colOff>600075</xdr:colOff>
      <xdr:row>6</xdr:row>
      <xdr:rowOff>104775</xdr:rowOff>
    </xdr:from>
    <xdr:to>
      <xdr:col>12</xdr:col>
      <xdr:colOff>171450</xdr:colOff>
      <xdr:row>7</xdr:row>
      <xdr:rowOff>104775</xdr:rowOff>
    </xdr:to>
    <xdr:sp macro="[0]!Macro7" textlink="">
      <xdr:nvSpPr>
        <xdr:cNvPr id="3" name="Rounded Rectangle 6">
          <a:extLst>
            <a:ext uri="{FF2B5EF4-FFF2-40B4-BE49-F238E27FC236}">
              <a16:creationId xmlns:a16="http://schemas.microsoft.com/office/drawing/2014/main" id="{00000000-0008-0000-0B00-000007000000}"/>
            </a:ext>
            <a:ext uri="{147F2762-F138-4A5C-976F-8EAC2B608ADB}">
              <a16:predDERef xmlns:a16="http://schemas.microsoft.com/office/drawing/2014/main" pred="{00000000-0008-0000-0B00-000004000000}"/>
            </a:ext>
          </a:extLst>
        </xdr:cNvPr>
        <xdr:cNvSpPr/>
      </xdr:nvSpPr>
      <xdr:spPr>
        <a:xfrm>
          <a:off x="6696075" y="1057275"/>
          <a:ext cx="790575"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lt"/>
              <a:cs typeface="+mn-lt"/>
            </a:rPr>
            <a:t>TOP 5</a:t>
          </a:r>
        </a:p>
      </xdr:txBody>
    </xdr:sp>
    <xdr:clientData/>
  </xdr:twoCellAnchor>
  <xdr:twoCellAnchor>
    <xdr:from>
      <xdr:col>25</xdr:col>
      <xdr:colOff>1490662</xdr:colOff>
      <xdr:row>6</xdr:row>
      <xdr:rowOff>85725</xdr:rowOff>
    </xdr:from>
    <xdr:to>
      <xdr:col>32</xdr:col>
      <xdr:colOff>14287</xdr:colOff>
      <xdr:row>20</xdr:row>
      <xdr:rowOff>161925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409575</xdr:colOff>
      <xdr:row>18</xdr:row>
      <xdr:rowOff>9525</xdr:rowOff>
    </xdr:from>
    <xdr:to>
      <xdr:col>10</xdr:col>
      <xdr:colOff>438150</xdr:colOff>
      <xdr:row>34</xdr:row>
      <xdr:rowOff>133351</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16</xdr:col>
      <xdr:colOff>142875</xdr:colOff>
      <xdr:row>2</xdr:row>
      <xdr:rowOff>180975</xdr:rowOff>
    </xdr:from>
    <xdr:to>
      <xdr:col>19</xdr:col>
      <xdr:colOff>142875</xdr:colOff>
      <xdr:row>22</xdr:row>
      <xdr:rowOff>28575</xdr:rowOff>
    </xdr:to>
    <mc:AlternateContent xmlns:mc="http://schemas.openxmlformats.org/markup-compatibility/2006" xmlns:a14="http://schemas.microsoft.com/office/drawing/2010/main">
      <mc:Choice Requires="a14">
        <xdr:graphicFrame macro="">
          <xdr:nvGraphicFramePr>
            <xdr:cNvPr id="14" name="plans">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microsoft.com/office/drawing/2010/slicer">
              <sle:slicer xmlns:sle="http://schemas.microsoft.com/office/drawing/2010/slicer" name="plans"/>
            </a:graphicData>
          </a:graphic>
        </xdr:graphicFrame>
      </mc:Choice>
      <mc:Fallback xmlns="">
        <xdr:sp macro="" textlink="">
          <xdr:nvSpPr>
            <xdr:cNvPr id="0" name=""/>
            <xdr:cNvSpPr>
              <a:spLocks noTextEdit="1"/>
            </xdr:cNvSpPr>
          </xdr:nvSpPr>
          <xdr:spPr>
            <a:xfrm>
              <a:off x="9896475" y="371475"/>
              <a:ext cx="1828800" cy="3657600"/>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c:userShapes xmlns:c="http://schemas.openxmlformats.org/drawingml/2006/chart">
  <cdr:relSizeAnchor xmlns:cdr="http://schemas.openxmlformats.org/drawingml/2006/chartDrawing">
    <cdr:from>
      <cdr:x>0.31498</cdr:x>
      <cdr:y>0.16319</cdr:y>
    </cdr:from>
    <cdr:to>
      <cdr:x>0.81057</cdr:x>
      <cdr:y>0.23264</cdr:y>
    </cdr:to>
    <cdr:sp macro="" textlink="">
      <cdr:nvSpPr>
        <cdr:cNvPr id="2" name="TextBox 1"/>
        <cdr:cNvSpPr txBox="1"/>
      </cdr:nvSpPr>
      <cdr:spPr>
        <a:xfrm xmlns:a="http://schemas.openxmlformats.org/drawingml/2006/main">
          <a:off x="1362075" y="447675"/>
          <a:ext cx="2143125" cy="190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1100"/>
            <a:t>PLAN TREND OVER MONTH</a:t>
          </a:r>
        </a:p>
      </cdr:txBody>
    </cdr:sp>
  </cdr:relSizeAnchor>
</c:userShapes>
</file>

<file path=xl/drawings/drawing11.xml><?xml version="1.0" encoding="utf-8"?>
<xdr:wsDr xmlns:xdr="http://schemas.openxmlformats.org/drawingml/2006/spreadsheetDrawing" xmlns:a="http://schemas.openxmlformats.org/drawingml/2006/main">
  <xdr:twoCellAnchor>
    <xdr:from>
      <xdr:col>0</xdr:col>
      <xdr:colOff>600075</xdr:colOff>
      <xdr:row>4</xdr:row>
      <xdr:rowOff>76201</xdr:rowOff>
    </xdr:from>
    <xdr:to>
      <xdr:col>4</xdr:col>
      <xdr:colOff>428625</xdr:colOff>
      <xdr:row>22</xdr:row>
      <xdr:rowOff>152400</xdr:rowOff>
    </xdr:to>
    <xdr:sp macro="" textlink="">
      <xdr:nvSpPr>
        <xdr:cNvPr id="2" name="Rounded Rectangle 1">
          <a:extLst>
            <a:ext uri="{FF2B5EF4-FFF2-40B4-BE49-F238E27FC236}">
              <a16:creationId xmlns:a16="http://schemas.microsoft.com/office/drawing/2014/main" id="{00000000-0008-0000-0C00-000002000000}"/>
            </a:ext>
          </a:extLst>
        </xdr:cNvPr>
        <xdr:cNvSpPr/>
      </xdr:nvSpPr>
      <xdr:spPr>
        <a:xfrm>
          <a:off x="600075" y="838201"/>
          <a:ext cx="2266950" cy="3505199"/>
        </a:xfrm>
        <a:prstGeom prst="roundRect">
          <a:avLst/>
        </a:prstGeom>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457199</xdr:colOff>
      <xdr:row>5</xdr:row>
      <xdr:rowOff>85726</xdr:rowOff>
    </xdr:from>
    <xdr:to>
      <xdr:col>17</xdr:col>
      <xdr:colOff>9524</xdr:colOff>
      <xdr:row>21</xdr:row>
      <xdr:rowOff>142876</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3505199" y="1038226"/>
          <a:ext cx="6867525" cy="3105150"/>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800" b="0" i="0" u="sng">
              <a:solidFill>
                <a:schemeClr val="dk1"/>
              </a:solidFill>
              <a:effectLst/>
              <a:latin typeface="Times New Roman" pitchFamily="18" charset="0"/>
              <a:ea typeface="+mn-ea"/>
              <a:cs typeface="Times New Roman" pitchFamily="18" charset="0"/>
            </a:rPr>
            <a:t>Provide Insights to Executive team in Telecom Domain</a:t>
          </a:r>
        </a:p>
        <a:p>
          <a:endParaRPr lang="en-IN" sz="1100" b="0" i="0">
            <a:solidFill>
              <a:schemeClr val="dk1"/>
            </a:solidFill>
            <a:effectLst/>
            <a:latin typeface="+mn-lt"/>
            <a:ea typeface="+mn-ea"/>
            <a:cs typeface="+mn-cs"/>
          </a:endParaRPr>
        </a:p>
        <a:p>
          <a:r>
            <a:rPr lang="en-IN" sz="1400" b="1" i="1">
              <a:solidFill>
                <a:schemeClr val="dk1"/>
              </a:solidFill>
              <a:effectLst/>
              <a:latin typeface="Times New Roman" pitchFamily="18" charset="0"/>
              <a:ea typeface="+mn-ea"/>
              <a:cs typeface="Times New Roman" pitchFamily="18" charset="0"/>
            </a:rPr>
            <a:t>Domain</a:t>
          </a:r>
          <a:r>
            <a:rPr lang="en-IN" sz="1400" b="0" i="1">
              <a:solidFill>
                <a:schemeClr val="dk1"/>
              </a:solidFill>
              <a:effectLst/>
              <a:latin typeface="Times New Roman" pitchFamily="18" charset="0"/>
              <a:ea typeface="+mn-ea"/>
              <a:cs typeface="Times New Roman" pitchFamily="18" charset="0"/>
            </a:rPr>
            <a:t>:  Telecom    </a:t>
          </a:r>
          <a:r>
            <a:rPr lang="en-IN" sz="1400" b="1" i="1">
              <a:solidFill>
                <a:schemeClr val="dk1"/>
              </a:solidFill>
              <a:effectLst/>
              <a:latin typeface="Times New Roman" pitchFamily="18" charset="0"/>
              <a:ea typeface="+mn-ea"/>
              <a:cs typeface="Times New Roman" pitchFamily="18" charset="0"/>
            </a:rPr>
            <a:t>Function</a:t>
          </a:r>
          <a:r>
            <a:rPr lang="en-IN" sz="1400" b="0" i="1">
              <a:solidFill>
                <a:schemeClr val="dk1"/>
              </a:solidFill>
              <a:effectLst/>
              <a:latin typeface="Times New Roman" pitchFamily="18" charset="0"/>
              <a:ea typeface="+mn-ea"/>
              <a:cs typeface="Times New Roman" pitchFamily="18" charset="0"/>
            </a:rPr>
            <a:t>: Executive Management</a:t>
          </a:r>
        </a:p>
        <a:p>
          <a:endParaRPr lang="en-IN" sz="1400" b="0" i="1">
            <a:solidFill>
              <a:schemeClr val="dk1"/>
            </a:solidFill>
            <a:effectLst/>
            <a:latin typeface="Times New Roman" pitchFamily="18" charset="0"/>
            <a:ea typeface="+mn-ea"/>
            <a:cs typeface="Times New Roman" pitchFamily="18" charset="0"/>
          </a:endParaRPr>
        </a:p>
        <a:p>
          <a:r>
            <a:rPr lang="en-IN" sz="1400" b="0" i="1">
              <a:solidFill>
                <a:schemeClr val="dk1"/>
              </a:solidFill>
              <a:effectLst/>
              <a:latin typeface="Times New Roman" pitchFamily="18" charset="0"/>
              <a:ea typeface="+mn-ea"/>
              <a:cs typeface="Times New Roman" pitchFamily="18" charset="0"/>
            </a:rPr>
            <a:t>AtliQo is one of the leading telecom providers in India and launched it’s 5G plans in May 2022 along with other telecom providers.</a:t>
          </a:r>
        </a:p>
        <a:p>
          <a:endParaRPr lang="en-IN" sz="1400" b="0" i="1">
            <a:solidFill>
              <a:schemeClr val="dk1"/>
            </a:solidFill>
            <a:effectLst/>
            <a:latin typeface="Times New Roman" pitchFamily="18" charset="0"/>
            <a:ea typeface="+mn-ea"/>
            <a:cs typeface="Times New Roman" pitchFamily="18" charset="0"/>
          </a:endParaRPr>
        </a:p>
        <a:p>
          <a:r>
            <a:rPr lang="en-IN" sz="1400" b="0" i="1">
              <a:solidFill>
                <a:schemeClr val="dk1"/>
              </a:solidFill>
              <a:effectLst/>
              <a:latin typeface="Times New Roman" pitchFamily="18" charset="0"/>
              <a:ea typeface="+mn-ea"/>
              <a:cs typeface="Times New Roman" pitchFamily="18" charset="0"/>
            </a:rPr>
            <a:t>However, the management noticed a decline in their active users and revenue growth post 5G launch in May 2022. Atliqo’s business director requested their analytics team to provide a comparison report of KPIs between pre and post-periods of the 5G launch. The management is keen to compare the performance between these periods and get insights which would enable them to make informed decisions to recover their active user rate and other key metrics. They also wonder if they can optimize their internet plans to get more active users.  Peter Pandey, a junior data analyst is assigned to this task.</a:t>
          </a:r>
        </a:p>
        <a:p>
          <a:endParaRPr lang="en-IN" sz="1100" b="0" i="0">
            <a:solidFill>
              <a:schemeClr val="dk1"/>
            </a:solidFill>
            <a:effectLst/>
            <a:latin typeface="+mn-lt"/>
            <a:ea typeface="+mn-ea"/>
            <a:cs typeface="+mn-cs"/>
          </a:endParaRPr>
        </a:p>
        <a:p>
          <a:endParaRPr lang="en-IN" sz="1100" b="0" i="0">
            <a:solidFill>
              <a:schemeClr val="dk1"/>
            </a:solidFill>
            <a:effectLst/>
            <a:latin typeface="+mn-lt"/>
            <a:ea typeface="+mn-ea"/>
            <a:cs typeface="+mn-cs"/>
          </a:endParaRPr>
        </a:p>
        <a:p>
          <a:endParaRPr lang="en-IN" sz="1100"/>
        </a:p>
      </xdr:txBody>
    </xdr:sp>
    <xdr:clientData/>
  </xdr:twoCellAnchor>
  <xdr:twoCellAnchor>
    <xdr:from>
      <xdr:col>1</xdr:col>
      <xdr:colOff>209550</xdr:colOff>
      <xdr:row>5</xdr:row>
      <xdr:rowOff>66675</xdr:rowOff>
    </xdr:from>
    <xdr:to>
      <xdr:col>4</xdr:col>
      <xdr:colOff>295275</xdr:colOff>
      <xdr:row>7</xdr:row>
      <xdr:rowOff>123825</xdr:rowOff>
    </xdr:to>
    <xdr:sp macro="" textlink="">
      <xdr:nvSpPr>
        <xdr:cNvPr id="4" name="Rectangle 3">
          <a:hlinkClick xmlns:r="http://schemas.openxmlformats.org/officeDocument/2006/relationships" r:id="rId1"/>
          <a:extLst>
            <a:ext uri="{FF2B5EF4-FFF2-40B4-BE49-F238E27FC236}">
              <a16:creationId xmlns:a16="http://schemas.microsoft.com/office/drawing/2014/main" id="{00000000-0008-0000-0C00-000004000000}"/>
            </a:ext>
          </a:extLst>
        </xdr:cNvPr>
        <xdr:cNvSpPr/>
      </xdr:nvSpPr>
      <xdr:spPr>
        <a:xfrm>
          <a:off x="819150" y="828675"/>
          <a:ext cx="1914525" cy="438150"/>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IN" sz="1400">
              <a:latin typeface="Times New Roman" pitchFamily="18" charset="0"/>
              <a:cs typeface="Times New Roman" pitchFamily="18" charset="0"/>
            </a:rPr>
            <a:t>ATLIQO METRICS</a:t>
          </a:r>
        </a:p>
      </xdr:txBody>
    </xdr:sp>
    <xdr:clientData/>
  </xdr:twoCellAnchor>
  <xdr:twoCellAnchor>
    <xdr:from>
      <xdr:col>1</xdr:col>
      <xdr:colOff>238125</xdr:colOff>
      <xdr:row>10</xdr:row>
      <xdr:rowOff>142875</xdr:rowOff>
    </xdr:from>
    <xdr:to>
      <xdr:col>4</xdr:col>
      <xdr:colOff>323850</xdr:colOff>
      <xdr:row>13</xdr:row>
      <xdr:rowOff>9525</xdr:rowOff>
    </xdr:to>
    <xdr:sp macro="" textlink="">
      <xdr:nvSpPr>
        <xdr:cNvPr id="5" name="Rectangle 4">
          <a:hlinkClick xmlns:r="http://schemas.openxmlformats.org/officeDocument/2006/relationships" r:id="rId2"/>
          <a:extLst>
            <a:ext uri="{FF2B5EF4-FFF2-40B4-BE49-F238E27FC236}">
              <a16:creationId xmlns:a16="http://schemas.microsoft.com/office/drawing/2014/main" id="{00000000-0008-0000-0C00-000005000000}"/>
            </a:ext>
          </a:extLst>
        </xdr:cNvPr>
        <xdr:cNvSpPr/>
      </xdr:nvSpPr>
      <xdr:spPr>
        <a:xfrm>
          <a:off x="847725" y="1857375"/>
          <a:ext cx="1914525" cy="438150"/>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IN" sz="1400">
              <a:latin typeface="Times New Roman" pitchFamily="18" charset="0"/>
              <a:cs typeface="Times New Roman" pitchFamily="18" charset="0"/>
            </a:rPr>
            <a:t>MARKET SHARE</a:t>
          </a:r>
        </a:p>
      </xdr:txBody>
    </xdr:sp>
    <xdr:clientData/>
  </xdr:twoCellAnchor>
  <xdr:twoCellAnchor>
    <xdr:from>
      <xdr:col>1</xdr:col>
      <xdr:colOff>238125</xdr:colOff>
      <xdr:row>16</xdr:row>
      <xdr:rowOff>95250</xdr:rowOff>
    </xdr:from>
    <xdr:to>
      <xdr:col>4</xdr:col>
      <xdr:colOff>323850</xdr:colOff>
      <xdr:row>18</xdr:row>
      <xdr:rowOff>152400</xdr:rowOff>
    </xdr:to>
    <xdr:sp macro="" textlink="">
      <xdr:nvSpPr>
        <xdr:cNvPr id="6" name="Rectangle 5">
          <a:hlinkClick xmlns:r="http://schemas.openxmlformats.org/officeDocument/2006/relationships" r:id="rId3"/>
          <a:extLst>
            <a:ext uri="{FF2B5EF4-FFF2-40B4-BE49-F238E27FC236}">
              <a16:creationId xmlns:a16="http://schemas.microsoft.com/office/drawing/2014/main" id="{00000000-0008-0000-0C00-000006000000}"/>
            </a:ext>
          </a:extLst>
        </xdr:cNvPr>
        <xdr:cNvSpPr/>
      </xdr:nvSpPr>
      <xdr:spPr>
        <a:xfrm>
          <a:off x="847725" y="2952750"/>
          <a:ext cx="1914525" cy="438150"/>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IN" sz="1400">
              <a:latin typeface="Times New Roman" pitchFamily="18" charset="0"/>
              <a:cs typeface="Times New Roman" pitchFamily="18" charset="0"/>
            </a:rPr>
            <a:t>PLAN REVENUE</a:t>
          </a:r>
        </a:p>
      </xdr:txBody>
    </xdr:sp>
    <xdr:clientData/>
  </xdr:twoCellAnchor>
  <xdr:twoCellAnchor editAs="oneCell">
    <xdr:from>
      <xdr:col>7</xdr:col>
      <xdr:colOff>600075</xdr:colOff>
      <xdr:row>0</xdr:row>
      <xdr:rowOff>95250</xdr:rowOff>
    </xdr:from>
    <xdr:to>
      <xdr:col>8</xdr:col>
      <xdr:colOff>552450</xdr:colOff>
      <xdr:row>3</xdr:row>
      <xdr:rowOff>19050</xdr:rowOff>
    </xdr:to>
    <xdr:pic>
      <xdr:nvPicPr>
        <xdr:cNvPr id="7" name="Picture 6">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4"/>
        <a:stretch>
          <a:fillRect/>
        </a:stretch>
      </xdr:blipFill>
      <xdr:spPr>
        <a:xfrm>
          <a:off x="4867275" y="95250"/>
          <a:ext cx="561975" cy="495300"/>
        </a:xfrm>
        <a:prstGeom prst="rect">
          <a:avLst/>
        </a:prstGeom>
      </xdr:spPr>
    </xdr:pic>
    <xdr:clientData/>
  </xdr:twoCellAnchor>
  <xdr:twoCellAnchor>
    <xdr:from>
      <xdr:col>8</xdr:col>
      <xdr:colOff>552450</xdr:colOff>
      <xdr:row>0</xdr:row>
      <xdr:rowOff>114301</xdr:rowOff>
    </xdr:from>
    <xdr:to>
      <xdr:col>15</xdr:col>
      <xdr:colOff>400049</xdr:colOff>
      <xdr:row>3</xdr:row>
      <xdr:rowOff>1</xdr:rowOff>
    </xdr:to>
    <xdr:sp macro="" textlink="">
      <xdr:nvSpPr>
        <xdr:cNvPr id="8" name="Rectangle 7">
          <a:extLst>
            <a:ext uri="{FF2B5EF4-FFF2-40B4-BE49-F238E27FC236}">
              <a16:creationId xmlns:a16="http://schemas.microsoft.com/office/drawing/2014/main" id="{00000000-0008-0000-0C00-000008000000}"/>
            </a:ext>
          </a:extLst>
        </xdr:cNvPr>
        <xdr:cNvSpPr/>
      </xdr:nvSpPr>
      <xdr:spPr>
        <a:xfrm>
          <a:off x="5429250" y="114301"/>
          <a:ext cx="4114799" cy="4572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IN" sz="1400" i="1">
              <a:solidFill>
                <a:srgbClr val="FF0000"/>
              </a:solidFill>
              <a:latin typeface="Times New Roman" pitchFamily="18" charset="0"/>
              <a:cs typeface="Times New Roman" pitchFamily="18" charset="0"/>
            </a:rPr>
            <a:t>ATLIQO TELECOM BUSINESS</a:t>
          </a:r>
          <a:r>
            <a:rPr lang="en-IN" sz="1400" i="1" baseline="0">
              <a:solidFill>
                <a:srgbClr val="FF0000"/>
              </a:solidFill>
              <a:latin typeface="Times New Roman" pitchFamily="18" charset="0"/>
              <a:cs typeface="Times New Roman" pitchFamily="18" charset="0"/>
            </a:rPr>
            <a:t> INSIGHTS</a:t>
          </a:r>
          <a:endParaRPr lang="en-IN" sz="1400" i="1">
            <a:solidFill>
              <a:srgbClr val="FF0000"/>
            </a:solidFill>
            <a:latin typeface="Times New Roman" pitchFamily="18" charset="0"/>
            <a:cs typeface="Times New Roman" pitchFamily="18"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aishnavi" refreshedDate="44926.810739583336" createdVersion="4" refreshedVersion="4" minRefreshableVersion="3" recordCount="120" xr:uid="{00000000-000A-0000-FFFF-FFFF00000000}">
  <cacheSource type="worksheet">
    <worksheetSource ref="A1:I121" sheet="fact_atliqo_metrics"/>
  </cacheSource>
  <cacheFields count="9">
    <cacheField name="date" numFmtId="15">
      <sharedItems containsSemiMixedTypes="0" containsNonDate="0" containsDate="1" containsString="0" minDate="2022-01-01T00:00:00" maxDate="2022-09-02T00:00:00" count="8">
        <d v="2022-01-01T00:00:00"/>
        <d v="2022-02-01T00:00:00"/>
        <d v="2022-03-01T00:00:00"/>
        <d v="2022-04-01T00:00:00"/>
        <d v="2022-06-01T00:00:00"/>
        <d v="2022-07-01T00:00:00"/>
        <d v="2022-08-01T00:00:00"/>
        <d v="2022-09-01T00:00:00"/>
      </sharedItems>
    </cacheField>
    <cacheField name="5g" numFmtId="0">
      <sharedItems count="2">
        <s v="Before 5G"/>
        <s v="After 5G"/>
      </sharedItems>
    </cacheField>
    <cacheField name="city_code" numFmtId="0">
      <sharedItems containsSemiMixedTypes="0" containsString="0" containsNumber="1" containsInteger="1" minValue="110001" maxValue="800008"/>
    </cacheField>
    <cacheField name="CITY" numFmtId="0">
      <sharedItems count="15">
        <s v="Mumbai"/>
        <s v="Delhi"/>
        <s v="Kolkata"/>
        <s v="Bangalore"/>
        <s v="Chennai"/>
        <s v="Hyderabad"/>
        <s v="Pune"/>
        <s v="Ahmedabad"/>
        <s v="Jaipur"/>
        <s v="Lucknow"/>
        <s v="Patna"/>
        <s v="Coimbatore"/>
        <s v="Chandigarh"/>
        <s v="Gurgaon"/>
        <s v="Raipur"/>
      </sharedItems>
    </cacheField>
    <cacheField name="company" numFmtId="0">
      <sharedItems/>
    </cacheField>
    <cacheField name="atliqo_revenue_crores" numFmtId="0">
      <sharedItems containsSemiMixedTypes="0" containsString="0" containsNumber="1" minValue="3.46" maxValue="69"/>
    </cacheField>
    <cacheField name="arpu" numFmtId="0">
      <sharedItems containsSemiMixedTypes="0" containsString="0" containsNumber="1" containsInteger="1" minValue="161" maxValue="255"/>
    </cacheField>
    <cacheField name="active_users_lakhs" numFmtId="0">
      <sharedItems containsSemiMixedTypes="0" containsString="0" containsNumber="1" minValue="1.51" maxValue="36.21"/>
    </cacheField>
    <cacheField name="unsubscribed_users_lakhs" numFmtId="0">
      <sharedItems containsSemiMixedTypes="0" containsString="0" containsNumber="1" minValue="0.1" maxValue="3.57"/>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aishnavi" refreshedDate="44926.847738773147" createdVersion="4" refreshedVersion="4" minRefreshableVersion="3" recordCount="600" xr:uid="{00000000-000A-0000-FFFF-FFFF01000000}">
  <cacheSource type="worksheet">
    <worksheetSource ref="A1:G601" sheet="fact_market_Share"/>
  </cacheSource>
  <cacheFields count="7">
    <cacheField name="date" numFmtId="15">
      <sharedItems containsSemiMixedTypes="0" containsNonDate="0" containsDate="1" containsString="0" minDate="2022-01-01T00:00:00" maxDate="2022-09-02T00:00:00" count="8">
        <d v="2022-01-01T00:00:00"/>
        <d v="2022-02-01T00:00:00"/>
        <d v="2022-03-01T00:00:00"/>
        <d v="2022-04-01T00:00:00"/>
        <d v="2022-06-01T00:00:00"/>
        <d v="2022-07-01T00:00:00"/>
        <d v="2022-08-01T00:00:00"/>
        <d v="2022-09-01T00:00:00"/>
      </sharedItems>
    </cacheField>
    <cacheField name="5G" numFmtId="15">
      <sharedItems count="2">
        <s v="Before 5G"/>
        <s v="After 5G"/>
      </sharedItems>
    </cacheField>
    <cacheField name="city_code" numFmtId="0">
      <sharedItems containsSemiMixedTypes="0" containsString="0" containsNumber="1" containsInteger="1" minValue="110001" maxValue="800008"/>
    </cacheField>
    <cacheField name="CITY" numFmtId="0">
      <sharedItems count="15">
        <s v="Mumbai"/>
        <s v="Delhi"/>
        <s v="Kolkata"/>
        <s v="Bangalore"/>
        <s v="Chennai"/>
        <s v="Hyderabad"/>
        <s v="Pune"/>
        <s v="Ahmedabad"/>
        <s v="Jaipur"/>
        <s v="Lucknow"/>
        <s v="Patna"/>
        <s v="Coimbatore"/>
        <s v="Chandigarh"/>
        <s v="Gurgaon"/>
        <s v="Raipur"/>
      </sharedItems>
    </cacheField>
    <cacheField name="tmv_city_crores" numFmtId="0">
      <sharedItems containsSemiMixedTypes="0" containsString="0" containsNumber="1" minValue="17.55" maxValue="349.97"/>
    </cacheField>
    <cacheField name="company" numFmtId="0">
      <sharedItems count="5">
        <s v="Atliqo"/>
        <s v="Britel"/>
        <s v="PIO"/>
        <s v="DADAFONE"/>
        <s v="Others"/>
      </sharedItems>
    </cacheField>
    <cacheField name="ms_pct" numFmtId="0">
      <sharedItems containsSemiMixedTypes="0" containsString="0" containsNumber="1" minValue="5.35" maxValue="41.46"/>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aishnavi" refreshedDate="44926.896010763892" createdVersion="4" refreshedVersion="4" minRefreshableVersion="3" recordCount="1200" xr:uid="{00000000-000A-0000-FFFF-FFFF02000000}">
  <cacheSource type="worksheet">
    <worksheetSource name="fact_plan_revenue" sheet="fact_plan_revenue"/>
  </cacheSource>
  <cacheFields count="6">
    <cacheField name="date" numFmtId="15">
      <sharedItems containsSemiMixedTypes="0" containsNonDate="0" containsDate="1" containsString="0" minDate="2022-01-01T00:00:00" maxDate="2022-09-02T00:00:00" count="8">
        <d v="2022-01-01T00:00:00"/>
        <d v="2022-02-01T00:00:00"/>
        <d v="2022-03-01T00:00:00"/>
        <d v="2022-04-01T00:00:00"/>
        <d v="2022-06-01T00:00:00"/>
        <d v="2022-07-01T00:00:00"/>
        <d v="2022-08-01T00:00:00"/>
        <d v="2022-09-01T00:00:00"/>
      </sharedItems>
    </cacheField>
    <cacheField name="5G" numFmtId="15">
      <sharedItems count="2">
        <s v="Before 5G"/>
        <s v="After 5G"/>
      </sharedItems>
    </cacheField>
    <cacheField name="city_code" numFmtId="0">
      <sharedItems containsSemiMixedTypes="0" containsString="0" containsNumber="1" containsInteger="1" minValue="110001" maxValue="800008"/>
    </cacheField>
    <cacheField name="CITY" numFmtId="0">
      <sharedItems count="15">
        <s v="Mumbai"/>
        <s v="Delhi"/>
        <s v="Kolkata"/>
        <s v="Bangalore"/>
        <s v="Chennai"/>
        <s v="Hyderabad"/>
        <s v="Pune"/>
        <s v="Ahmedabad"/>
        <s v="Jaipur"/>
        <s v="Lucknow"/>
        <s v="Patna"/>
        <s v="Coimbatore"/>
        <s v="Chandigarh"/>
        <s v="Gurgaon"/>
        <s v="Raipur"/>
      </sharedItems>
    </cacheField>
    <cacheField name="plans" numFmtId="0">
      <sharedItems count="13">
        <s v="p1"/>
        <s v="p2"/>
        <s v="p3"/>
        <s v="p4"/>
        <s v="p5"/>
        <s v="p6"/>
        <s v="p7"/>
        <s v="p8"/>
        <s v="p9"/>
        <s v="p10"/>
        <s v="p11"/>
        <s v="p12"/>
        <s v="p13"/>
      </sharedItems>
    </cacheField>
    <cacheField name="plan_revenue_crores" numFmtId="0">
      <sharedItems containsSemiMixedTypes="0" containsString="0" containsNumber="1" minValue="0.02" maxValue="11.46"/>
    </cacheField>
  </cacheFields>
  <extLst>
    <ext xmlns:x14="http://schemas.microsoft.com/office/spreadsheetml/2009/9/main" uri="{725AE2AE-9491-48be-B2B4-4EB974FC3084}">
      <x14:pivotCacheDefinition pivotCacheId="4"/>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aishnavi" refreshedDate="44928.460931250003" createdVersion="4" refreshedVersion="4" minRefreshableVersion="3" recordCount="1200" xr:uid="{00000000-000A-0000-FFFF-FFFF03000000}">
  <cacheSource type="worksheet">
    <worksheetSource ref="A1:F1201" sheet="fact_plan_revenue"/>
  </cacheSource>
  <cacheFields count="6">
    <cacheField name="date" numFmtId="15">
      <sharedItems containsSemiMixedTypes="0" containsNonDate="0" containsDate="1" containsString="0" minDate="2022-01-01T00:00:00" maxDate="2022-09-02T00:00:00" count="8">
        <d v="2022-01-01T00:00:00"/>
        <d v="2022-02-01T00:00:00"/>
        <d v="2022-03-01T00:00:00"/>
        <d v="2022-04-01T00:00:00"/>
        <d v="2022-06-01T00:00:00"/>
        <d v="2022-07-01T00:00:00"/>
        <d v="2022-08-01T00:00:00"/>
        <d v="2022-09-01T00:00:00"/>
      </sharedItems>
    </cacheField>
    <cacheField name="5G" numFmtId="15">
      <sharedItems count="2">
        <s v="Before 5G"/>
        <s v="After 5G"/>
      </sharedItems>
    </cacheField>
    <cacheField name="city_code" numFmtId="0">
      <sharedItems containsSemiMixedTypes="0" containsString="0" containsNumber="1" containsInteger="1" minValue="110001" maxValue="800008"/>
    </cacheField>
    <cacheField name="CITY" numFmtId="0">
      <sharedItems count="15">
        <s v="Mumbai"/>
        <s v="Delhi"/>
        <s v="Kolkata"/>
        <s v="Bangalore"/>
        <s v="Chennai"/>
        <s v="Hyderabad"/>
        <s v="Pune"/>
        <s v="Ahmedabad"/>
        <s v="Jaipur"/>
        <s v="Lucknow"/>
        <s v="Patna"/>
        <s v="Coimbatore"/>
        <s v="Chandigarh"/>
        <s v="Gurgaon"/>
        <s v="Raipur"/>
      </sharedItems>
    </cacheField>
    <cacheField name="plans" numFmtId="0">
      <sharedItems count="13">
        <s v="p1"/>
        <s v="p2"/>
        <s v="p3"/>
        <s v="p4"/>
        <s v="p5"/>
        <s v="p6"/>
        <s v="p7"/>
        <s v="p8"/>
        <s v="p9"/>
        <s v="p10"/>
        <s v="p11"/>
        <s v="p12"/>
        <s v="p13"/>
      </sharedItems>
    </cacheField>
    <cacheField name="plan_revenue_crores" numFmtId="0">
      <sharedItems containsSemiMixedTypes="0" containsString="0" containsNumber="1" minValue="0.02" maxValue="11.46"/>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0">
  <r>
    <x v="0"/>
    <x v="0"/>
    <n v="400001"/>
    <x v="0"/>
    <s v="Atliqo"/>
    <n v="60.69"/>
    <n v="192"/>
    <n v="31.61"/>
    <n v="1.9"/>
  </r>
  <r>
    <x v="0"/>
    <x v="0"/>
    <n v="110001"/>
    <x v="1"/>
    <s v="Atliqo"/>
    <n v="42.71"/>
    <n v="175"/>
    <n v="24.41"/>
    <n v="1.31"/>
  </r>
  <r>
    <x v="0"/>
    <x v="0"/>
    <n v="700001"/>
    <x v="2"/>
    <s v="Atliqo"/>
    <n v="36.909999999999997"/>
    <n v="175"/>
    <n v="21.09"/>
    <n v="1.25"/>
  </r>
  <r>
    <x v="0"/>
    <x v="0"/>
    <n v="560001"/>
    <x v="3"/>
    <s v="Atliqo"/>
    <n v="37.4"/>
    <n v="175"/>
    <n v="21.37"/>
    <n v="1.39"/>
  </r>
  <r>
    <x v="0"/>
    <x v="0"/>
    <n v="600001"/>
    <x v="4"/>
    <s v="Atliqo"/>
    <n v="30.8"/>
    <n v="203"/>
    <n v="15.17"/>
    <n v="1.1200000000000001"/>
  </r>
  <r>
    <x v="0"/>
    <x v="0"/>
    <n v="500001"/>
    <x v="5"/>
    <s v="Atliqo"/>
    <n v="28.25"/>
    <n v="183"/>
    <n v="15.44"/>
    <n v="0.78"/>
  </r>
  <r>
    <x v="0"/>
    <x v="0"/>
    <n v="411001"/>
    <x v="6"/>
    <s v="Atliqo"/>
    <n v="24.22"/>
    <n v="200"/>
    <n v="12.11"/>
    <n v="1.08"/>
  </r>
  <r>
    <x v="0"/>
    <x v="0"/>
    <n v="380001"/>
    <x v="7"/>
    <s v="Atliqo"/>
    <n v="20.97"/>
    <n v="165"/>
    <n v="12.71"/>
    <n v="0.62"/>
  </r>
  <r>
    <x v="0"/>
    <x v="0"/>
    <n v="302001"/>
    <x v="8"/>
    <s v="Atliqo"/>
    <n v="22.21"/>
    <n v="189"/>
    <n v="11.75"/>
    <n v="0.52"/>
  </r>
  <r>
    <x v="0"/>
    <x v="0"/>
    <n v="226001"/>
    <x v="9"/>
    <s v="Atliqo"/>
    <n v="11.86"/>
    <n v="198"/>
    <n v="5.99"/>
    <n v="0.45"/>
  </r>
  <r>
    <x v="0"/>
    <x v="0"/>
    <n v="800008"/>
    <x v="10"/>
    <s v="Atliqo"/>
    <n v="14.59"/>
    <n v="188"/>
    <n v="7.76"/>
    <n v="0.39"/>
  </r>
  <r>
    <x v="0"/>
    <x v="0"/>
    <n v="641001"/>
    <x v="11"/>
    <s v="Atliqo"/>
    <n v="7.82"/>
    <n v="212"/>
    <n v="3.69"/>
    <n v="0.28000000000000003"/>
  </r>
  <r>
    <x v="0"/>
    <x v="0"/>
    <n v="160017"/>
    <x v="12"/>
    <s v="Atliqo"/>
    <n v="6.35"/>
    <n v="185"/>
    <n v="3.43"/>
    <n v="0.17"/>
  </r>
  <r>
    <x v="0"/>
    <x v="0"/>
    <n v="122001"/>
    <x v="13"/>
    <s v="Atliqo"/>
    <n v="5.32"/>
    <n v="181"/>
    <n v="2.94"/>
    <n v="0.25"/>
  </r>
  <r>
    <x v="0"/>
    <x v="0"/>
    <n v="492001"/>
    <x v="14"/>
    <s v="Atliqo"/>
    <n v="4.2699999999999996"/>
    <n v="191"/>
    <n v="2.2400000000000002"/>
    <n v="0.16"/>
  </r>
  <r>
    <x v="1"/>
    <x v="0"/>
    <n v="400001"/>
    <x v="0"/>
    <s v="Atliqo"/>
    <n v="61.19"/>
    <n v="169"/>
    <n v="36.21"/>
    <n v="2.71"/>
  </r>
  <r>
    <x v="1"/>
    <x v="0"/>
    <n v="110001"/>
    <x v="1"/>
    <s v="Atliqo"/>
    <n v="54.18"/>
    <n v="189"/>
    <n v="28.67"/>
    <n v="1.85"/>
  </r>
  <r>
    <x v="1"/>
    <x v="0"/>
    <n v="700001"/>
    <x v="2"/>
    <s v="Atliqo"/>
    <n v="39.479999999999997"/>
    <n v="175"/>
    <n v="22.56"/>
    <n v="1.75"/>
  </r>
  <r>
    <x v="1"/>
    <x v="0"/>
    <n v="560001"/>
    <x v="3"/>
    <s v="Atliqo"/>
    <n v="47.06"/>
    <n v="189"/>
    <n v="24.9"/>
    <n v="1.22"/>
  </r>
  <r>
    <x v="1"/>
    <x v="0"/>
    <n v="600001"/>
    <x v="4"/>
    <s v="Atliqo"/>
    <n v="55.9"/>
    <n v="206"/>
    <n v="27.14"/>
    <n v="1.68"/>
  </r>
  <r>
    <x v="1"/>
    <x v="0"/>
    <n v="500001"/>
    <x v="5"/>
    <s v="Atliqo"/>
    <n v="34.47"/>
    <n v="193"/>
    <n v="17.86"/>
    <n v="1.1299999999999999"/>
  </r>
  <r>
    <x v="1"/>
    <x v="0"/>
    <n v="411001"/>
    <x v="6"/>
    <s v="Atliqo"/>
    <n v="28.66"/>
    <n v="190"/>
    <n v="15.08"/>
    <n v="0.72"/>
  </r>
  <r>
    <x v="1"/>
    <x v="0"/>
    <n v="380001"/>
    <x v="7"/>
    <s v="Atliqo"/>
    <n v="20.63"/>
    <n v="171"/>
    <n v="12.06"/>
    <n v="0.74"/>
  </r>
  <r>
    <x v="1"/>
    <x v="0"/>
    <n v="302001"/>
    <x v="8"/>
    <s v="Atliqo"/>
    <n v="15.67"/>
    <n v="199"/>
    <n v="7.87"/>
    <n v="0.55000000000000004"/>
  </r>
  <r>
    <x v="1"/>
    <x v="0"/>
    <n v="226001"/>
    <x v="9"/>
    <s v="Atliqo"/>
    <n v="24.77"/>
    <n v="210"/>
    <n v="11.8"/>
    <n v="0.55000000000000004"/>
  </r>
  <r>
    <x v="1"/>
    <x v="0"/>
    <n v="800008"/>
    <x v="10"/>
    <s v="Atliqo"/>
    <n v="11.72"/>
    <n v="208"/>
    <n v="5.63"/>
    <n v="0.32"/>
  </r>
  <r>
    <x v="1"/>
    <x v="0"/>
    <n v="641001"/>
    <x v="11"/>
    <s v="Atliqo"/>
    <n v="11.94"/>
    <n v="170"/>
    <n v="7.02"/>
    <n v="0.41"/>
  </r>
  <r>
    <x v="1"/>
    <x v="0"/>
    <n v="160017"/>
    <x v="12"/>
    <s v="Atliqo"/>
    <n v="6.34"/>
    <n v="162"/>
    <n v="3.91"/>
    <n v="0.17"/>
  </r>
  <r>
    <x v="1"/>
    <x v="0"/>
    <n v="122001"/>
    <x v="13"/>
    <s v="Atliqo"/>
    <n v="9.4499999999999993"/>
    <n v="187"/>
    <n v="5.05"/>
    <n v="0.27"/>
  </r>
  <r>
    <x v="1"/>
    <x v="0"/>
    <n v="492001"/>
    <x v="14"/>
    <s v="Atliqo"/>
    <n v="4.2300000000000004"/>
    <n v="168"/>
    <n v="2.52"/>
    <n v="0.16"/>
  </r>
  <r>
    <x v="2"/>
    <x v="0"/>
    <n v="400001"/>
    <x v="0"/>
    <s v="Atliqo"/>
    <n v="57.28"/>
    <n v="213"/>
    <n v="26.89"/>
    <n v="2.33"/>
  </r>
  <r>
    <x v="2"/>
    <x v="0"/>
    <n v="110001"/>
    <x v="1"/>
    <s v="Atliqo"/>
    <n v="48.98"/>
    <n v="171"/>
    <n v="28.64"/>
    <n v="2.52"/>
  </r>
  <r>
    <x v="2"/>
    <x v="0"/>
    <n v="700001"/>
    <x v="2"/>
    <s v="Atliqo"/>
    <n v="67.31"/>
    <n v="187"/>
    <n v="35.99"/>
    <n v="2.2000000000000002"/>
  </r>
  <r>
    <x v="2"/>
    <x v="0"/>
    <n v="560001"/>
    <x v="3"/>
    <s v="Atliqo"/>
    <n v="41.87"/>
    <n v="166"/>
    <n v="25.22"/>
    <n v="1.59"/>
  </r>
  <r>
    <x v="2"/>
    <x v="0"/>
    <n v="600001"/>
    <x v="4"/>
    <s v="Atliqo"/>
    <n v="30.5"/>
    <n v="211"/>
    <n v="14.45"/>
    <n v="0.91"/>
  </r>
  <r>
    <x v="2"/>
    <x v="0"/>
    <n v="500001"/>
    <x v="5"/>
    <s v="Atliqo"/>
    <n v="27.95"/>
    <n v="211"/>
    <n v="13.25"/>
    <n v="0.78"/>
  </r>
  <r>
    <x v="2"/>
    <x v="0"/>
    <n v="411001"/>
    <x v="6"/>
    <s v="Atliqo"/>
    <n v="30.83"/>
    <n v="201"/>
    <n v="15.34"/>
    <n v="1.1000000000000001"/>
  </r>
  <r>
    <x v="2"/>
    <x v="0"/>
    <n v="380001"/>
    <x v="7"/>
    <s v="Atliqo"/>
    <n v="28.95"/>
    <n v="206"/>
    <n v="14.05"/>
    <n v="0.75"/>
  </r>
  <r>
    <x v="2"/>
    <x v="0"/>
    <n v="302001"/>
    <x v="8"/>
    <s v="Atliqo"/>
    <n v="17.100000000000001"/>
    <n v="186"/>
    <n v="9.19"/>
    <n v="0.81"/>
  </r>
  <r>
    <x v="2"/>
    <x v="0"/>
    <n v="226001"/>
    <x v="9"/>
    <s v="Atliqo"/>
    <n v="14.93"/>
    <n v="212"/>
    <n v="7.04"/>
    <n v="0.3"/>
  </r>
  <r>
    <x v="2"/>
    <x v="0"/>
    <n v="800008"/>
    <x v="10"/>
    <s v="Atliqo"/>
    <n v="10.62"/>
    <n v="197"/>
    <n v="5.39"/>
    <n v="0.47"/>
  </r>
  <r>
    <x v="2"/>
    <x v="0"/>
    <n v="641001"/>
    <x v="11"/>
    <s v="Atliqo"/>
    <n v="17.12"/>
    <n v="206"/>
    <n v="8.31"/>
    <n v="0.61"/>
  </r>
  <r>
    <x v="2"/>
    <x v="0"/>
    <n v="160017"/>
    <x v="12"/>
    <s v="Atliqo"/>
    <n v="7.51"/>
    <n v="202"/>
    <n v="3.72"/>
    <n v="0.25"/>
  </r>
  <r>
    <x v="2"/>
    <x v="0"/>
    <n v="122001"/>
    <x v="13"/>
    <s v="Atliqo"/>
    <n v="6.04"/>
    <n v="181"/>
    <n v="3.34"/>
    <n v="0.19"/>
  </r>
  <r>
    <x v="2"/>
    <x v="0"/>
    <n v="492001"/>
    <x v="14"/>
    <s v="Atliqo"/>
    <n v="3.46"/>
    <n v="197"/>
    <n v="1.76"/>
    <n v="0.15"/>
  </r>
  <r>
    <x v="3"/>
    <x v="0"/>
    <n v="400001"/>
    <x v="0"/>
    <s v="Atliqo"/>
    <n v="65.239999999999995"/>
    <n v="213"/>
    <n v="30.63"/>
    <n v="2.64"/>
  </r>
  <r>
    <x v="3"/>
    <x v="0"/>
    <n v="110001"/>
    <x v="1"/>
    <s v="Atliqo"/>
    <n v="50.51"/>
    <n v="191"/>
    <n v="26.45"/>
    <n v="2.02"/>
  </r>
  <r>
    <x v="3"/>
    <x v="0"/>
    <n v="700001"/>
    <x v="2"/>
    <s v="Atliqo"/>
    <n v="48.85"/>
    <n v="198"/>
    <n v="24.67"/>
    <n v="1.73"/>
  </r>
  <r>
    <x v="3"/>
    <x v="0"/>
    <n v="560001"/>
    <x v="3"/>
    <s v="Atliqo"/>
    <n v="42.34"/>
    <n v="169"/>
    <n v="25.05"/>
    <n v="1.51"/>
  </r>
  <r>
    <x v="3"/>
    <x v="0"/>
    <n v="600001"/>
    <x v="4"/>
    <s v="Atliqo"/>
    <n v="32.93"/>
    <n v="192"/>
    <n v="17.149999999999999"/>
    <n v="1.46"/>
  </r>
  <r>
    <x v="3"/>
    <x v="0"/>
    <n v="500001"/>
    <x v="5"/>
    <s v="Atliqo"/>
    <n v="27.96"/>
    <n v="199"/>
    <n v="14.05"/>
    <n v="1.17"/>
  </r>
  <r>
    <x v="3"/>
    <x v="0"/>
    <n v="411001"/>
    <x v="6"/>
    <s v="Atliqo"/>
    <n v="45.93"/>
    <n v="209"/>
    <n v="21.98"/>
    <n v="1.44"/>
  </r>
  <r>
    <x v="3"/>
    <x v="0"/>
    <n v="380001"/>
    <x v="7"/>
    <s v="Atliqo"/>
    <n v="23.94"/>
    <n v="163"/>
    <n v="14.69"/>
    <n v="1.21"/>
  </r>
  <r>
    <x v="3"/>
    <x v="0"/>
    <n v="302001"/>
    <x v="8"/>
    <s v="Atliqo"/>
    <n v="15.11"/>
    <n v="206"/>
    <n v="7.33"/>
    <n v="0.35"/>
  </r>
  <r>
    <x v="3"/>
    <x v="0"/>
    <n v="226001"/>
    <x v="9"/>
    <s v="Atliqo"/>
    <n v="13.27"/>
    <n v="193"/>
    <n v="6.88"/>
    <n v="0.42"/>
  </r>
  <r>
    <x v="3"/>
    <x v="0"/>
    <n v="800008"/>
    <x v="10"/>
    <s v="Atliqo"/>
    <n v="11.81"/>
    <n v="177"/>
    <n v="6.67"/>
    <n v="0.53"/>
  </r>
  <r>
    <x v="3"/>
    <x v="0"/>
    <n v="641001"/>
    <x v="11"/>
    <s v="Atliqo"/>
    <n v="8.7899999999999991"/>
    <n v="212"/>
    <n v="4.1500000000000004"/>
    <n v="0.25"/>
  </r>
  <r>
    <x v="3"/>
    <x v="0"/>
    <n v="160017"/>
    <x v="12"/>
    <s v="Atliqo"/>
    <n v="10.48"/>
    <n v="181"/>
    <n v="5.79"/>
    <n v="0.44"/>
  </r>
  <r>
    <x v="3"/>
    <x v="0"/>
    <n v="122001"/>
    <x v="13"/>
    <s v="Atliqo"/>
    <n v="6.31"/>
    <n v="185"/>
    <n v="3.41"/>
    <n v="0.2"/>
  </r>
  <r>
    <x v="3"/>
    <x v="0"/>
    <n v="492001"/>
    <x v="14"/>
    <s v="Atliqo"/>
    <n v="3.72"/>
    <n v="181"/>
    <n v="2.06"/>
    <n v="0.1"/>
  </r>
  <r>
    <x v="4"/>
    <x v="1"/>
    <n v="400001"/>
    <x v="0"/>
    <s v="Atliqo"/>
    <n v="62.09"/>
    <n v="193"/>
    <n v="32.17"/>
    <n v="2.41"/>
  </r>
  <r>
    <x v="4"/>
    <x v="1"/>
    <n v="110001"/>
    <x v="1"/>
    <s v="Atliqo"/>
    <n v="42.12"/>
    <n v="198"/>
    <n v="21.27"/>
    <n v="2.2799999999999998"/>
  </r>
  <r>
    <x v="4"/>
    <x v="1"/>
    <n v="700001"/>
    <x v="2"/>
    <s v="Atliqo"/>
    <n v="36.770000000000003"/>
    <n v="199"/>
    <n v="18.48"/>
    <n v="1.79"/>
  </r>
  <r>
    <x v="4"/>
    <x v="1"/>
    <n v="560001"/>
    <x v="3"/>
    <s v="Atliqo"/>
    <n v="38.020000000000003"/>
    <n v="242"/>
    <n v="15.71"/>
    <n v="1.1399999999999999"/>
  </r>
  <r>
    <x v="4"/>
    <x v="1"/>
    <n v="600001"/>
    <x v="4"/>
    <s v="Atliqo"/>
    <n v="30.55"/>
    <n v="198"/>
    <n v="15.43"/>
    <n v="1.63"/>
  </r>
  <r>
    <x v="4"/>
    <x v="1"/>
    <n v="500001"/>
    <x v="5"/>
    <s v="Atliqo"/>
    <n v="28.09"/>
    <n v="224"/>
    <n v="12.54"/>
    <n v="1.02"/>
  </r>
  <r>
    <x v="4"/>
    <x v="1"/>
    <n v="411001"/>
    <x v="6"/>
    <s v="Atliqo"/>
    <n v="24.69"/>
    <n v="199"/>
    <n v="12.41"/>
    <n v="1.28"/>
  </r>
  <r>
    <x v="4"/>
    <x v="1"/>
    <n v="380001"/>
    <x v="7"/>
    <s v="Atliqo"/>
    <n v="20.84"/>
    <n v="205"/>
    <n v="10.17"/>
    <n v="1.1000000000000001"/>
  </r>
  <r>
    <x v="4"/>
    <x v="1"/>
    <n v="302001"/>
    <x v="8"/>
    <s v="Atliqo"/>
    <n v="22.85"/>
    <n v="251"/>
    <n v="9.1"/>
    <n v="0.96"/>
  </r>
  <r>
    <x v="4"/>
    <x v="1"/>
    <n v="226001"/>
    <x v="9"/>
    <s v="Atliqo"/>
    <n v="12.29"/>
    <n v="219"/>
    <n v="5.61"/>
    <n v="0.59"/>
  </r>
  <r>
    <x v="4"/>
    <x v="1"/>
    <n v="800008"/>
    <x v="10"/>
    <s v="Atliqo"/>
    <n v="15.07"/>
    <n v="252"/>
    <n v="5.98"/>
    <n v="0.44"/>
  </r>
  <r>
    <x v="4"/>
    <x v="1"/>
    <n v="641001"/>
    <x v="11"/>
    <s v="Atliqo"/>
    <n v="7.9"/>
    <n v="236"/>
    <n v="3.35"/>
    <n v="0.26"/>
  </r>
  <r>
    <x v="4"/>
    <x v="1"/>
    <n v="160017"/>
    <x v="12"/>
    <s v="Atliqo"/>
    <n v="6.41"/>
    <n v="199"/>
    <n v="3.22"/>
    <n v="0.26"/>
  </r>
  <r>
    <x v="4"/>
    <x v="1"/>
    <n v="122001"/>
    <x v="13"/>
    <s v="Atliqo"/>
    <n v="5.5"/>
    <n v="197"/>
    <n v="2.79"/>
    <n v="0.25"/>
  </r>
  <r>
    <x v="4"/>
    <x v="1"/>
    <n v="492001"/>
    <x v="14"/>
    <s v="Atliqo"/>
    <n v="4.37"/>
    <n v="255"/>
    <n v="1.71"/>
    <n v="0.15"/>
  </r>
  <r>
    <x v="5"/>
    <x v="1"/>
    <n v="400001"/>
    <x v="0"/>
    <s v="Atliqo"/>
    <n v="59.9"/>
    <n v="243"/>
    <n v="24.65"/>
    <n v="1.86"/>
  </r>
  <r>
    <x v="5"/>
    <x v="1"/>
    <n v="110001"/>
    <x v="1"/>
    <s v="Atliqo"/>
    <n v="51.3"/>
    <n v="240"/>
    <n v="21.38"/>
    <n v="2.11"/>
  </r>
  <r>
    <x v="5"/>
    <x v="1"/>
    <n v="700001"/>
    <x v="2"/>
    <s v="Atliqo"/>
    <n v="38.119999999999997"/>
    <n v="169"/>
    <n v="22.56"/>
    <n v="1.77"/>
  </r>
  <r>
    <x v="5"/>
    <x v="1"/>
    <n v="560001"/>
    <x v="3"/>
    <s v="Atliqo"/>
    <n v="46.11"/>
    <n v="186"/>
    <n v="24.79"/>
    <n v="2.02"/>
  </r>
  <r>
    <x v="5"/>
    <x v="1"/>
    <n v="600001"/>
    <x v="4"/>
    <s v="Atliqo"/>
    <n v="53.87"/>
    <n v="196"/>
    <n v="27.48"/>
    <n v="2.54"/>
  </r>
  <r>
    <x v="5"/>
    <x v="1"/>
    <n v="500001"/>
    <x v="5"/>
    <s v="Atliqo"/>
    <n v="33.32"/>
    <n v="164"/>
    <n v="20.32"/>
    <n v="2.17"/>
  </r>
  <r>
    <x v="5"/>
    <x v="1"/>
    <n v="411001"/>
    <x v="6"/>
    <s v="Atliqo"/>
    <n v="27.98"/>
    <n v="173"/>
    <n v="16.170000000000002"/>
    <n v="1.38"/>
  </r>
  <r>
    <x v="5"/>
    <x v="1"/>
    <n v="380001"/>
    <x v="7"/>
    <s v="Atliqo"/>
    <n v="19.440000000000001"/>
    <n v="175"/>
    <n v="11.11"/>
    <n v="0.89"/>
  </r>
  <r>
    <x v="5"/>
    <x v="1"/>
    <n v="302001"/>
    <x v="8"/>
    <s v="Atliqo"/>
    <n v="15.29"/>
    <n v="182"/>
    <n v="8.4"/>
    <n v="0.7"/>
  </r>
  <r>
    <x v="5"/>
    <x v="1"/>
    <n v="226001"/>
    <x v="9"/>
    <s v="Atliqo"/>
    <n v="24.77"/>
    <n v="162"/>
    <n v="15.29"/>
    <n v="1.45"/>
  </r>
  <r>
    <x v="5"/>
    <x v="1"/>
    <n v="800008"/>
    <x v="10"/>
    <s v="Atliqo"/>
    <n v="11.48"/>
    <n v="212"/>
    <n v="5.42"/>
    <n v="0.55000000000000004"/>
  </r>
  <r>
    <x v="5"/>
    <x v="1"/>
    <n v="641001"/>
    <x v="11"/>
    <s v="Atliqo"/>
    <n v="11.53"/>
    <n v="218"/>
    <n v="5.29"/>
    <n v="0.45"/>
  </r>
  <r>
    <x v="5"/>
    <x v="1"/>
    <n v="160017"/>
    <x v="12"/>
    <s v="Atliqo"/>
    <n v="6.11"/>
    <n v="250"/>
    <n v="2.44"/>
    <n v="0.22"/>
  </r>
  <r>
    <x v="5"/>
    <x v="1"/>
    <n v="122001"/>
    <x v="13"/>
    <s v="Atliqo"/>
    <n v="9.3699999999999992"/>
    <n v="231"/>
    <n v="4.0599999999999996"/>
    <n v="0.3"/>
  </r>
  <r>
    <x v="5"/>
    <x v="1"/>
    <n v="492001"/>
    <x v="14"/>
    <s v="Atliqo"/>
    <n v="4.17"/>
    <n v="236"/>
    <n v="1.77"/>
    <n v="0.16"/>
  </r>
  <r>
    <x v="6"/>
    <x v="1"/>
    <n v="400001"/>
    <x v="0"/>
    <s v="Atliqo"/>
    <n v="58.35"/>
    <n v="248"/>
    <n v="23.53"/>
    <n v="1.85"/>
  </r>
  <r>
    <x v="6"/>
    <x v="1"/>
    <n v="110001"/>
    <x v="1"/>
    <s v="Atliqo"/>
    <n v="48.93"/>
    <n v="202"/>
    <n v="24.22"/>
    <n v="2.37"/>
  </r>
  <r>
    <x v="6"/>
    <x v="1"/>
    <n v="700001"/>
    <x v="2"/>
    <s v="Atliqo"/>
    <n v="69"/>
    <n v="195"/>
    <n v="35.380000000000003"/>
    <n v="3.57"/>
  </r>
  <r>
    <x v="6"/>
    <x v="1"/>
    <n v="560001"/>
    <x v="3"/>
    <s v="Atliqo"/>
    <n v="43.59"/>
    <n v="183"/>
    <n v="23.82"/>
    <n v="1.81"/>
  </r>
  <r>
    <x v="6"/>
    <x v="1"/>
    <n v="600001"/>
    <x v="4"/>
    <s v="Atliqo"/>
    <n v="30.27"/>
    <n v="209"/>
    <n v="14.48"/>
    <n v="1.18"/>
  </r>
  <r>
    <x v="6"/>
    <x v="1"/>
    <n v="500001"/>
    <x v="5"/>
    <s v="Atliqo"/>
    <n v="28.35"/>
    <n v="231"/>
    <n v="12.27"/>
    <n v="1.27"/>
  </r>
  <r>
    <x v="6"/>
    <x v="1"/>
    <n v="411001"/>
    <x v="6"/>
    <s v="Atliqo"/>
    <n v="31.66"/>
    <n v="161"/>
    <n v="19.66"/>
    <n v="1.76"/>
  </r>
  <r>
    <x v="6"/>
    <x v="1"/>
    <n v="380001"/>
    <x v="7"/>
    <s v="Atliqo"/>
    <n v="29.23"/>
    <n v="224"/>
    <n v="13.05"/>
    <n v="1.22"/>
  </r>
  <r>
    <x v="6"/>
    <x v="1"/>
    <n v="302001"/>
    <x v="8"/>
    <s v="Atliqo"/>
    <n v="17.71"/>
    <n v="175"/>
    <n v="10.119999999999999"/>
    <n v="1.03"/>
  </r>
  <r>
    <x v="6"/>
    <x v="1"/>
    <n v="226001"/>
    <x v="9"/>
    <s v="Atliqo"/>
    <n v="15.67"/>
    <n v="248"/>
    <n v="6.32"/>
    <n v="0.57999999999999996"/>
  </r>
  <r>
    <x v="6"/>
    <x v="1"/>
    <n v="800008"/>
    <x v="10"/>
    <s v="Atliqo"/>
    <n v="11.05"/>
    <n v="212"/>
    <n v="5.21"/>
    <n v="0.52"/>
  </r>
  <r>
    <x v="6"/>
    <x v="1"/>
    <n v="641001"/>
    <x v="11"/>
    <s v="Atliqo"/>
    <n v="17.7"/>
    <n v="235"/>
    <n v="7.53"/>
    <n v="0.72"/>
  </r>
  <r>
    <x v="6"/>
    <x v="1"/>
    <n v="160017"/>
    <x v="12"/>
    <s v="Atliqo"/>
    <n v="7.67"/>
    <n v="191"/>
    <n v="4.0199999999999996"/>
    <n v="0.39"/>
  </r>
  <r>
    <x v="6"/>
    <x v="1"/>
    <n v="122001"/>
    <x v="13"/>
    <s v="Atliqo"/>
    <n v="6.31"/>
    <n v="192"/>
    <n v="3.29"/>
    <n v="0.26"/>
  </r>
  <r>
    <x v="6"/>
    <x v="1"/>
    <n v="492001"/>
    <x v="14"/>
    <s v="Atliqo"/>
    <n v="3.59"/>
    <n v="237"/>
    <n v="1.51"/>
    <n v="0.14000000000000001"/>
  </r>
  <r>
    <x v="7"/>
    <x v="1"/>
    <n v="400001"/>
    <x v="0"/>
    <s v="Atliqo"/>
    <n v="64.81"/>
    <n v="240"/>
    <n v="27"/>
    <n v="2.25"/>
  </r>
  <r>
    <x v="7"/>
    <x v="1"/>
    <n v="110001"/>
    <x v="1"/>
    <s v="Atliqo"/>
    <n v="48.47"/>
    <n v="218"/>
    <n v="22.23"/>
    <n v="2.2200000000000002"/>
  </r>
  <r>
    <x v="7"/>
    <x v="1"/>
    <n v="700001"/>
    <x v="2"/>
    <s v="Atliqo"/>
    <n v="47.95"/>
    <n v="209"/>
    <n v="22.94"/>
    <n v="1.73"/>
  </r>
  <r>
    <x v="7"/>
    <x v="1"/>
    <n v="560001"/>
    <x v="3"/>
    <s v="Atliqo"/>
    <n v="42.22"/>
    <n v="225"/>
    <n v="18.760000000000002"/>
    <n v="1.92"/>
  </r>
  <r>
    <x v="7"/>
    <x v="1"/>
    <n v="600001"/>
    <x v="4"/>
    <s v="Atliqo"/>
    <n v="31.55"/>
    <n v="188"/>
    <n v="16.78"/>
    <n v="1.73"/>
  </r>
  <r>
    <x v="7"/>
    <x v="1"/>
    <n v="500001"/>
    <x v="5"/>
    <s v="Atliqo"/>
    <n v="27.34"/>
    <n v="250"/>
    <n v="10.94"/>
    <n v="0.87"/>
  </r>
  <r>
    <x v="7"/>
    <x v="1"/>
    <n v="411001"/>
    <x v="6"/>
    <s v="Atliqo"/>
    <n v="45.79"/>
    <n v="164"/>
    <n v="27.92"/>
    <n v="2.3199999999999998"/>
  </r>
  <r>
    <x v="7"/>
    <x v="1"/>
    <n v="380001"/>
    <x v="7"/>
    <s v="Atliqo"/>
    <n v="23.07"/>
    <n v="255"/>
    <n v="9.0500000000000007"/>
    <n v="0.65"/>
  </r>
  <r>
    <x v="7"/>
    <x v="1"/>
    <n v="302001"/>
    <x v="8"/>
    <s v="Atliqo"/>
    <n v="14.93"/>
    <n v="229"/>
    <n v="6.52"/>
    <n v="0.71"/>
  </r>
  <r>
    <x v="7"/>
    <x v="1"/>
    <n v="226001"/>
    <x v="9"/>
    <s v="Atliqo"/>
    <n v="13.28"/>
    <n v="249"/>
    <n v="5.33"/>
    <n v="0.44"/>
  </r>
  <r>
    <x v="7"/>
    <x v="1"/>
    <n v="800008"/>
    <x v="10"/>
    <s v="Atliqo"/>
    <n v="11.86"/>
    <n v="250"/>
    <n v="4.74"/>
    <n v="0.38"/>
  </r>
  <r>
    <x v="7"/>
    <x v="1"/>
    <n v="641001"/>
    <x v="11"/>
    <s v="Atliqo"/>
    <n v="8.59"/>
    <n v="177"/>
    <n v="4.8499999999999996"/>
    <n v="0.53"/>
  </r>
  <r>
    <x v="7"/>
    <x v="1"/>
    <n v="160017"/>
    <x v="12"/>
    <s v="Atliqo"/>
    <n v="10.32"/>
    <n v="163"/>
    <n v="6.33"/>
    <n v="0.63"/>
  </r>
  <r>
    <x v="7"/>
    <x v="1"/>
    <n v="122001"/>
    <x v="13"/>
    <s v="Atliqo"/>
    <n v="6.35"/>
    <n v="238"/>
    <n v="2.67"/>
    <n v="0.21"/>
  </r>
  <r>
    <x v="7"/>
    <x v="1"/>
    <n v="492001"/>
    <x v="14"/>
    <s v="Atliqo"/>
    <n v="3.73"/>
    <n v="173"/>
    <n v="2.16"/>
    <n v="0.18"/>
  </r>
</pivotCacheRecords>
</file>

<file path=xl/pivotCache/pivotCacheRecords2.xml><?xml version="1.0" encoding="utf-8"?>
<pivotCacheRecords xmlns="http://schemas.openxmlformats.org/spreadsheetml/2006/main" xmlns:r="http://schemas.openxmlformats.org/officeDocument/2006/relationships" count="600">
  <r>
    <x v="0"/>
    <x v="0"/>
    <n v="400001"/>
    <x v="0"/>
    <n v="286.29000000000002"/>
    <x v="0"/>
    <n v="21.2"/>
  </r>
  <r>
    <x v="0"/>
    <x v="0"/>
    <n v="110001"/>
    <x v="1"/>
    <n v="241.59"/>
    <x v="0"/>
    <n v="17.68"/>
  </r>
  <r>
    <x v="0"/>
    <x v="0"/>
    <n v="700001"/>
    <x v="2"/>
    <n v="222.19"/>
    <x v="0"/>
    <n v="16.61"/>
  </r>
  <r>
    <x v="0"/>
    <x v="0"/>
    <n v="560001"/>
    <x v="3"/>
    <n v="195.41"/>
    <x v="0"/>
    <n v="19.14"/>
  </r>
  <r>
    <x v="0"/>
    <x v="0"/>
    <n v="600001"/>
    <x v="4"/>
    <n v="166.78"/>
    <x v="0"/>
    <n v="18.47"/>
  </r>
  <r>
    <x v="0"/>
    <x v="0"/>
    <n v="500001"/>
    <x v="5"/>
    <n v="148.68"/>
    <x v="0"/>
    <n v="19"/>
  </r>
  <r>
    <x v="0"/>
    <x v="0"/>
    <n v="411001"/>
    <x v="6"/>
    <n v="141.30000000000001"/>
    <x v="0"/>
    <n v="17.14"/>
  </r>
  <r>
    <x v="0"/>
    <x v="0"/>
    <n v="380001"/>
    <x v="7"/>
    <n v="110.08"/>
    <x v="0"/>
    <n v="19.05"/>
  </r>
  <r>
    <x v="0"/>
    <x v="0"/>
    <n v="302001"/>
    <x v="8"/>
    <n v="79.05"/>
    <x v="0"/>
    <n v="28.1"/>
  </r>
  <r>
    <x v="0"/>
    <x v="0"/>
    <n v="226001"/>
    <x v="9"/>
    <n v="67.599999999999994"/>
    <x v="0"/>
    <n v="17.54"/>
  </r>
  <r>
    <x v="0"/>
    <x v="0"/>
    <n v="800008"/>
    <x v="10"/>
    <n v="55.78"/>
    <x v="0"/>
    <n v="26.15"/>
  </r>
  <r>
    <x v="0"/>
    <x v="0"/>
    <n v="641001"/>
    <x v="11"/>
    <n v="50.24"/>
    <x v="0"/>
    <n v="15.57"/>
  </r>
  <r>
    <x v="0"/>
    <x v="0"/>
    <n v="160017"/>
    <x v="12"/>
    <n v="36.57"/>
    <x v="0"/>
    <n v="17.36"/>
  </r>
  <r>
    <x v="0"/>
    <x v="0"/>
    <n v="122001"/>
    <x v="13"/>
    <n v="27.89"/>
    <x v="0"/>
    <n v="19.07"/>
  </r>
  <r>
    <x v="0"/>
    <x v="0"/>
    <n v="492001"/>
    <x v="14"/>
    <n v="17.55"/>
    <x v="0"/>
    <n v="24.35"/>
  </r>
  <r>
    <x v="1"/>
    <x v="0"/>
    <n v="400001"/>
    <x v="0"/>
    <n v="328.6"/>
    <x v="0"/>
    <n v="18.62"/>
  </r>
  <r>
    <x v="1"/>
    <x v="0"/>
    <n v="110001"/>
    <x v="1"/>
    <n v="277.3"/>
    <x v="0"/>
    <n v="19.54"/>
  </r>
  <r>
    <x v="1"/>
    <x v="0"/>
    <n v="700001"/>
    <x v="2"/>
    <n v="255.04"/>
    <x v="0"/>
    <n v="15.48"/>
  </r>
  <r>
    <x v="1"/>
    <x v="0"/>
    <n v="560001"/>
    <x v="3"/>
    <n v="224.3"/>
    <x v="0"/>
    <n v="20.98"/>
  </r>
  <r>
    <x v="1"/>
    <x v="0"/>
    <n v="600001"/>
    <x v="4"/>
    <n v="191.44"/>
    <x v="0"/>
    <n v="29.2"/>
  </r>
  <r>
    <x v="1"/>
    <x v="0"/>
    <n v="500001"/>
    <x v="5"/>
    <n v="170.66"/>
    <x v="0"/>
    <n v="20.2"/>
  </r>
  <r>
    <x v="1"/>
    <x v="0"/>
    <n v="411001"/>
    <x v="6"/>
    <n v="162.18"/>
    <x v="0"/>
    <n v="17.670000000000002"/>
  </r>
  <r>
    <x v="1"/>
    <x v="0"/>
    <n v="380001"/>
    <x v="7"/>
    <n v="126.35"/>
    <x v="0"/>
    <n v="16.329999999999998"/>
  </r>
  <r>
    <x v="1"/>
    <x v="0"/>
    <n v="302001"/>
    <x v="8"/>
    <n v="90.74"/>
    <x v="0"/>
    <n v="17.27"/>
  </r>
  <r>
    <x v="1"/>
    <x v="0"/>
    <n v="226001"/>
    <x v="9"/>
    <n v="77.59"/>
    <x v="0"/>
    <n v="31.93"/>
  </r>
  <r>
    <x v="1"/>
    <x v="0"/>
    <n v="800008"/>
    <x v="10"/>
    <n v="64.02"/>
    <x v="0"/>
    <n v="18.3"/>
  </r>
  <r>
    <x v="1"/>
    <x v="0"/>
    <n v="641001"/>
    <x v="11"/>
    <n v="57.66"/>
    <x v="0"/>
    <n v="20.71"/>
  </r>
  <r>
    <x v="1"/>
    <x v="0"/>
    <n v="160017"/>
    <x v="12"/>
    <n v="41.98"/>
    <x v="0"/>
    <n v="15.11"/>
  </r>
  <r>
    <x v="1"/>
    <x v="0"/>
    <n v="122001"/>
    <x v="13"/>
    <n v="32.01"/>
    <x v="0"/>
    <n v="29.52"/>
  </r>
  <r>
    <x v="1"/>
    <x v="0"/>
    <n v="492001"/>
    <x v="14"/>
    <n v="20.14"/>
    <x v="0"/>
    <n v="20.99"/>
  </r>
  <r>
    <x v="2"/>
    <x v="0"/>
    <n v="400001"/>
    <x v="0"/>
    <n v="305.81"/>
    <x v="0"/>
    <n v="18.73"/>
  </r>
  <r>
    <x v="2"/>
    <x v="0"/>
    <n v="110001"/>
    <x v="1"/>
    <n v="258.07"/>
    <x v="0"/>
    <n v="18.98"/>
  </r>
  <r>
    <x v="2"/>
    <x v="0"/>
    <n v="700001"/>
    <x v="2"/>
    <n v="237.35"/>
    <x v="0"/>
    <n v="28.36"/>
  </r>
  <r>
    <x v="2"/>
    <x v="0"/>
    <n v="560001"/>
    <x v="3"/>
    <n v="208.74"/>
    <x v="0"/>
    <n v="20.059999999999999"/>
  </r>
  <r>
    <x v="2"/>
    <x v="0"/>
    <n v="600001"/>
    <x v="4"/>
    <n v="178.16"/>
    <x v="0"/>
    <n v="17.12"/>
  </r>
  <r>
    <x v="2"/>
    <x v="0"/>
    <n v="500001"/>
    <x v="5"/>
    <n v="158.83000000000001"/>
    <x v="0"/>
    <n v="17.600000000000001"/>
  </r>
  <r>
    <x v="2"/>
    <x v="0"/>
    <n v="411001"/>
    <x v="6"/>
    <n v="150.93"/>
    <x v="0"/>
    <n v="20.43"/>
  </r>
  <r>
    <x v="2"/>
    <x v="0"/>
    <n v="380001"/>
    <x v="7"/>
    <n v="117.59"/>
    <x v="0"/>
    <n v="24.62"/>
  </r>
  <r>
    <x v="2"/>
    <x v="0"/>
    <n v="302001"/>
    <x v="8"/>
    <n v="84.44"/>
    <x v="0"/>
    <n v="20.25"/>
  </r>
  <r>
    <x v="2"/>
    <x v="0"/>
    <n v="226001"/>
    <x v="9"/>
    <n v="72.209999999999994"/>
    <x v="0"/>
    <n v="20.68"/>
  </r>
  <r>
    <x v="2"/>
    <x v="0"/>
    <n v="800008"/>
    <x v="10"/>
    <n v="59.58"/>
    <x v="0"/>
    <n v="17.829999999999998"/>
  </r>
  <r>
    <x v="2"/>
    <x v="0"/>
    <n v="641001"/>
    <x v="11"/>
    <n v="53.67"/>
    <x v="0"/>
    <n v="31.89"/>
  </r>
  <r>
    <x v="2"/>
    <x v="0"/>
    <n v="160017"/>
    <x v="12"/>
    <n v="39.07"/>
    <x v="0"/>
    <n v="19.23"/>
  </r>
  <r>
    <x v="2"/>
    <x v="0"/>
    <n v="122001"/>
    <x v="13"/>
    <n v="29.79"/>
    <x v="0"/>
    <n v="20.260000000000002"/>
  </r>
  <r>
    <x v="2"/>
    <x v="0"/>
    <n v="492001"/>
    <x v="14"/>
    <n v="18.739999999999998"/>
    <x v="0"/>
    <n v="18.48"/>
  </r>
  <r>
    <x v="3"/>
    <x v="0"/>
    <n v="400001"/>
    <x v="0"/>
    <n v="324.26"/>
    <x v="0"/>
    <n v="20.12"/>
  </r>
  <r>
    <x v="3"/>
    <x v="0"/>
    <n v="110001"/>
    <x v="1"/>
    <n v="273.63"/>
    <x v="0"/>
    <n v="18.46"/>
  </r>
  <r>
    <x v="3"/>
    <x v="0"/>
    <n v="700001"/>
    <x v="2"/>
    <n v="251.67"/>
    <x v="0"/>
    <n v="19.41"/>
  </r>
  <r>
    <x v="3"/>
    <x v="0"/>
    <n v="560001"/>
    <x v="3"/>
    <n v="221.33"/>
    <x v="0"/>
    <n v="19.13"/>
  </r>
  <r>
    <x v="3"/>
    <x v="0"/>
    <n v="600001"/>
    <x v="4"/>
    <n v="188.91"/>
    <x v="0"/>
    <n v="17.43"/>
  </r>
  <r>
    <x v="3"/>
    <x v="0"/>
    <n v="500001"/>
    <x v="5"/>
    <n v="168.41"/>
    <x v="0"/>
    <n v="16.600000000000001"/>
  </r>
  <r>
    <x v="3"/>
    <x v="0"/>
    <n v="411001"/>
    <x v="6"/>
    <n v="160.04"/>
    <x v="0"/>
    <n v="28.7"/>
  </r>
  <r>
    <x v="3"/>
    <x v="0"/>
    <n v="380001"/>
    <x v="7"/>
    <n v="124.68"/>
    <x v="0"/>
    <n v="19.2"/>
  </r>
  <r>
    <x v="3"/>
    <x v="0"/>
    <n v="302001"/>
    <x v="8"/>
    <n v="89.54"/>
    <x v="0"/>
    <n v="16.87"/>
  </r>
  <r>
    <x v="3"/>
    <x v="0"/>
    <n v="226001"/>
    <x v="9"/>
    <n v="76.569999999999993"/>
    <x v="0"/>
    <n v="17.329999999999998"/>
  </r>
  <r>
    <x v="3"/>
    <x v="0"/>
    <n v="800008"/>
    <x v="10"/>
    <n v="63.18"/>
    <x v="0"/>
    <n v="18.690000000000001"/>
  </r>
  <r>
    <x v="3"/>
    <x v="0"/>
    <n v="641001"/>
    <x v="11"/>
    <n v="56.9"/>
    <x v="0"/>
    <n v="15.45"/>
  </r>
  <r>
    <x v="3"/>
    <x v="0"/>
    <n v="160017"/>
    <x v="12"/>
    <n v="41.42"/>
    <x v="0"/>
    <n v="25.31"/>
  </r>
  <r>
    <x v="3"/>
    <x v="0"/>
    <n v="122001"/>
    <x v="13"/>
    <n v="31.59"/>
    <x v="0"/>
    <n v="19.989999999999998"/>
  </r>
  <r>
    <x v="3"/>
    <x v="0"/>
    <n v="492001"/>
    <x v="14"/>
    <n v="19.87"/>
    <x v="0"/>
    <n v="18.739999999999998"/>
  </r>
  <r>
    <x v="4"/>
    <x v="1"/>
    <n v="400001"/>
    <x v="0"/>
    <n v="308"/>
    <x v="0"/>
    <n v="20.16"/>
  </r>
  <r>
    <x v="4"/>
    <x v="1"/>
    <n v="110001"/>
    <x v="1"/>
    <n v="253.61"/>
    <x v="0"/>
    <n v="16.61"/>
  </r>
  <r>
    <x v="4"/>
    <x v="1"/>
    <n v="700001"/>
    <x v="2"/>
    <n v="235.88"/>
    <x v="0"/>
    <n v="15.59"/>
  </r>
  <r>
    <x v="4"/>
    <x v="1"/>
    <n v="560001"/>
    <x v="3"/>
    <n v="211.24"/>
    <x v="0"/>
    <n v="18"/>
  </r>
  <r>
    <x v="4"/>
    <x v="1"/>
    <n v="600001"/>
    <x v="4"/>
    <n v="174.99"/>
    <x v="0"/>
    <n v="17.46"/>
  </r>
  <r>
    <x v="4"/>
    <x v="1"/>
    <n v="500001"/>
    <x v="5"/>
    <n v="157.63999999999999"/>
    <x v="0"/>
    <n v="17.82"/>
  </r>
  <r>
    <x v="4"/>
    <x v="1"/>
    <n v="411001"/>
    <x v="6"/>
    <n v="152.13"/>
    <x v="0"/>
    <n v="16.23"/>
  </r>
  <r>
    <x v="4"/>
    <x v="1"/>
    <n v="380001"/>
    <x v="7"/>
    <n v="115.47"/>
    <x v="0"/>
    <n v="18.05"/>
  </r>
  <r>
    <x v="4"/>
    <x v="1"/>
    <n v="302001"/>
    <x v="8"/>
    <n v="85.72"/>
    <x v="0"/>
    <n v="26.66"/>
  </r>
  <r>
    <x v="4"/>
    <x v="1"/>
    <n v="226001"/>
    <x v="9"/>
    <n v="73.7"/>
    <x v="0"/>
    <n v="16.68"/>
  </r>
  <r>
    <x v="4"/>
    <x v="1"/>
    <n v="800008"/>
    <x v="10"/>
    <n v="60.5"/>
    <x v="0"/>
    <n v="24.91"/>
  </r>
  <r>
    <x v="4"/>
    <x v="1"/>
    <n v="641001"/>
    <x v="11"/>
    <n v="53.6"/>
    <x v="0"/>
    <n v="14.73"/>
  </r>
  <r>
    <x v="4"/>
    <x v="1"/>
    <n v="160017"/>
    <x v="12"/>
    <n v="39.020000000000003"/>
    <x v="0"/>
    <n v="16.420000000000002"/>
  </r>
  <r>
    <x v="4"/>
    <x v="1"/>
    <n v="122001"/>
    <x v="13"/>
    <n v="30.35"/>
    <x v="0"/>
    <n v="18.13"/>
  </r>
  <r>
    <x v="4"/>
    <x v="1"/>
    <n v="492001"/>
    <x v="14"/>
    <n v="18.920000000000002"/>
    <x v="0"/>
    <n v="23.1"/>
  </r>
  <r>
    <x v="5"/>
    <x v="1"/>
    <n v="400001"/>
    <x v="0"/>
    <n v="348.85"/>
    <x v="0"/>
    <n v="17.170000000000002"/>
  </r>
  <r>
    <x v="5"/>
    <x v="1"/>
    <n v="110001"/>
    <x v="1"/>
    <n v="287.25"/>
    <x v="0"/>
    <n v="17.86"/>
  </r>
  <r>
    <x v="5"/>
    <x v="1"/>
    <n v="700001"/>
    <x v="2"/>
    <n v="267.16000000000003"/>
    <x v="0"/>
    <n v="14.27"/>
  </r>
  <r>
    <x v="5"/>
    <x v="1"/>
    <n v="560001"/>
    <x v="3"/>
    <n v="239.26"/>
    <x v="0"/>
    <n v="19.27"/>
  </r>
  <r>
    <x v="5"/>
    <x v="1"/>
    <n v="600001"/>
    <x v="4"/>
    <n v="198.2"/>
    <x v="0"/>
    <n v="27.18"/>
  </r>
  <r>
    <x v="5"/>
    <x v="1"/>
    <n v="500001"/>
    <x v="5"/>
    <n v="178.56"/>
    <x v="0"/>
    <n v="18.66"/>
  </r>
  <r>
    <x v="5"/>
    <x v="1"/>
    <n v="411001"/>
    <x v="6"/>
    <n v="172.31"/>
    <x v="0"/>
    <n v="16.239999999999998"/>
  </r>
  <r>
    <x v="5"/>
    <x v="1"/>
    <n v="380001"/>
    <x v="7"/>
    <n v="130.79"/>
    <x v="0"/>
    <n v="14.86"/>
  </r>
  <r>
    <x v="5"/>
    <x v="1"/>
    <n v="302001"/>
    <x v="8"/>
    <n v="97.09"/>
    <x v="0"/>
    <n v="15.75"/>
  </r>
  <r>
    <x v="5"/>
    <x v="1"/>
    <n v="226001"/>
    <x v="9"/>
    <n v="83.47"/>
    <x v="0"/>
    <n v="29.67"/>
  </r>
  <r>
    <x v="5"/>
    <x v="1"/>
    <n v="800008"/>
    <x v="10"/>
    <n v="68.52"/>
    <x v="0"/>
    <n v="16.75"/>
  </r>
  <r>
    <x v="5"/>
    <x v="1"/>
    <n v="641001"/>
    <x v="11"/>
    <n v="60.71"/>
    <x v="0"/>
    <n v="19"/>
  </r>
  <r>
    <x v="5"/>
    <x v="1"/>
    <n v="160017"/>
    <x v="12"/>
    <n v="44.19"/>
    <x v="0"/>
    <n v="13.83"/>
  </r>
  <r>
    <x v="5"/>
    <x v="1"/>
    <n v="122001"/>
    <x v="13"/>
    <n v="34.369999999999997"/>
    <x v="0"/>
    <n v="27.26"/>
  </r>
  <r>
    <x v="5"/>
    <x v="1"/>
    <n v="492001"/>
    <x v="14"/>
    <n v="21.43"/>
    <x v="0"/>
    <n v="19.48"/>
  </r>
  <r>
    <x v="6"/>
    <x v="1"/>
    <n v="400001"/>
    <x v="0"/>
    <n v="333.45"/>
    <x v="0"/>
    <n v="17.5"/>
  </r>
  <r>
    <x v="6"/>
    <x v="1"/>
    <n v="110001"/>
    <x v="1"/>
    <n v="274.57"/>
    <x v="0"/>
    <n v="17.82"/>
  </r>
  <r>
    <x v="6"/>
    <x v="1"/>
    <n v="700001"/>
    <x v="2"/>
    <n v="255.37"/>
    <x v="0"/>
    <n v="27.02"/>
  </r>
  <r>
    <x v="6"/>
    <x v="1"/>
    <n v="560001"/>
    <x v="3"/>
    <n v="228.7"/>
    <x v="0"/>
    <n v="19.059999999999999"/>
  </r>
  <r>
    <x v="6"/>
    <x v="1"/>
    <n v="600001"/>
    <x v="4"/>
    <n v="189.45"/>
    <x v="0"/>
    <n v="15.98"/>
  </r>
  <r>
    <x v="6"/>
    <x v="1"/>
    <n v="500001"/>
    <x v="5"/>
    <n v="170.67"/>
    <x v="0"/>
    <n v="16.61"/>
  </r>
  <r>
    <x v="6"/>
    <x v="1"/>
    <n v="411001"/>
    <x v="6"/>
    <n v="164.7"/>
    <x v="0"/>
    <n v="19.22"/>
  </r>
  <r>
    <x v="6"/>
    <x v="1"/>
    <n v="380001"/>
    <x v="7"/>
    <n v="125.02"/>
    <x v="0"/>
    <n v="23.38"/>
  </r>
  <r>
    <x v="6"/>
    <x v="1"/>
    <n v="302001"/>
    <x v="8"/>
    <n v="92.8"/>
    <x v="0"/>
    <n v="19.079999999999998"/>
  </r>
  <r>
    <x v="6"/>
    <x v="1"/>
    <n v="226001"/>
    <x v="9"/>
    <n v="79.790000000000006"/>
    <x v="0"/>
    <n v="19.64"/>
  </r>
  <r>
    <x v="6"/>
    <x v="1"/>
    <n v="800008"/>
    <x v="10"/>
    <n v="65.5"/>
    <x v="0"/>
    <n v="16.87"/>
  </r>
  <r>
    <x v="6"/>
    <x v="1"/>
    <n v="641001"/>
    <x v="11"/>
    <n v="58.03"/>
    <x v="0"/>
    <n v="30.5"/>
  </r>
  <r>
    <x v="6"/>
    <x v="1"/>
    <n v="160017"/>
    <x v="12"/>
    <n v="42.24"/>
    <x v="0"/>
    <n v="18.149999999999999"/>
  </r>
  <r>
    <x v="6"/>
    <x v="1"/>
    <n v="122001"/>
    <x v="13"/>
    <n v="32.85"/>
    <x v="0"/>
    <n v="19.2"/>
  </r>
  <r>
    <x v="6"/>
    <x v="1"/>
    <n v="492001"/>
    <x v="14"/>
    <n v="20.48"/>
    <x v="0"/>
    <n v="17.54"/>
  </r>
  <r>
    <x v="7"/>
    <x v="1"/>
    <n v="400001"/>
    <x v="0"/>
    <n v="349.97"/>
    <x v="0"/>
    <n v="18.52"/>
  </r>
  <r>
    <x v="7"/>
    <x v="1"/>
    <n v="110001"/>
    <x v="1"/>
    <n v="288.17"/>
    <x v="0"/>
    <n v="16.82"/>
  </r>
  <r>
    <x v="7"/>
    <x v="1"/>
    <n v="700001"/>
    <x v="2"/>
    <n v="268.02"/>
    <x v="0"/>
    <n v="17.89"/>
  </r>
  <r>
    <x v="7"/>
    <x v="1"/>
    <n v="560001"/>
    <x v="3"/>
    <n v="240.03"/>
    <x v="0"/>
    <n v="17.59"/>
  </r>
  <r>
    <x v="7"/>
    <x v="1"/>
    <n v="600001"/>
    <x v="4"/>
    <n v="198.83"/>
    <x v="0"/>
    <n v="15.87"/>
  </r>
  <r>
    <x v="7"/>
    <x v="1"/>
    <n v="500001"/>
    <x v="5"/>
    <n v="179.13"/>
    <x v="0"/>
    <n v="15.26"/>
  </r>
  <r>
    <x v="7"/>
    <x v="1"/>
    <n v="411001"/>
    <x v="6"/>
    <n v="172.86"/>
    <x v="0"/>
    <n v="26.49"/>
  </r>
  <r>
    <x v="7"/>
    <x v="1"/>
    <n v="380001"/>
    <x v="7"/>
    <n v="131.21"/>
    <x v="0"/>
    <n v="17.579999999999998"/>
  </r>
  <r>
    <x v="7"/>
    <x v="1"/>
    <n v="302001"/>
    <x v="8"/>
    <n v="97.4"/>
    <x v="0"/>
    <n v="15.33"/>
  </r>
  <r>
    <x v="7"/>
    <x v="1"/>
    <n v="226001"/>
    <x v="9"/>
    <n v="83.74"/>
    <x v="0"/>
    <n v="15.86"/>
  </r>
  <r>
    <x v="7"/>
    <x v="1"/>
    <n v="800008"/>
    <x v="10"/>
    <n v="68.739999999999995"/>
    <x v="0"/>
    <n v="17.25"/>
  </r>
  <r>
    <x v="7"/>
    <x v="1"/>
    <n v="641001"/>
    <x v="11"/>
    <n v="60.9"/>
    <x v="0"/>
    <n v="14.1"/>
  </r>
  <r>
    <x v="7"/>
    <x v="1"/>
    <n v="160017"/>
    <x v="12"/>
    <n v="44.33"/>
    <x v="0"/>
    <n v="23.29"/>
  </r>
  <r>
    <x v="7"/>
    <x v="1"/>
    <n v="122001"/>
    <x v="13"/>
    <n v="34.479999999999997"/>
    <x v="0"/>
    <n v="18.420000000000002"/>
  </r>
  <r>
    <x v="7"/>
    <x v="1"/>
    <n v="492001"/>
    <x v="14"/>
    <n v="21.5"/>
    <x v="0"/>
    <n v="17.329999999999998"/>
  </r>
  <r>
    <x v="0"/>
    <x v="0"/>
    <n v="400001"/>
    <x v="0"/>
    <n v="286.29000000000002"/>
    <x v="1"/>
    <n v="25.45"/>
  </r>
  <r>
    <x v="0"/>
    <x v="0"/>
    <n v="110001"/>
    <x v="1"/>
    <n v="241.59"/>
    <x v="1"/>
    <n v="29.34"/>
  </r>
  <r>
    <x v="0"/>
    <x v="0"/>
    <n v="700001"/>
    <x v="2"/>
    <n v="222.19"/>
    <x v="1"/>
    <n v="27.85"/>
  </r>
  <r>
    <x v="0"/>
    <x v="0"/>
    <n v="560001"/>
    <x v="3"/>
    <n v="195.41"/>
    <x v="1"/>
    <n v="33.97"/>
  </r>
  <r>
    <x v="0"/>
    <x v="0"/>
    <n v="600001"/>
    <x v="4"/>
    <n v="166.78"/>
    <x v="1"/>
    <n v="31.44"/>
  </r>
  <r>
    <x v="0"/>
    <x v="0"/>
    <n v="500001"/>
    <x v="5"/>
    <n v="148.68"/>
    <x v="1"/>
    <n v="30.93"/>
  </r>
  <r>
    <x v="0"/>
    <x v="0"/>
    <n v="411001"/>
    <x v="6"/>
    <n v="141.30000000000001"/>
    <x v="1"/>
    <n v="34.31"/>
  </r>
  <r>
    <x v="0"/>
    <x v="0"/>
    <n v="380001"/>
    <x v="7"/>
    <n v="110.08"/>
    <x v="1"/>
    <n v="30.45"/>
  </r>
  <r>
    <x v="0"/>
    <x v="0"/>
    <n v="302001"/>
    <x v="8"/>
    <n v="79.05"/>
    <x v="1"/>
    <n v="18.47"/>
  </r>
  <r>
    <x v="0"/>
    <x v="0"/>
    <n v="226001"/>
    <x v="9"/>
    <n v="67.599999999999994"/>
    <x v="1"/>
    <n v="32.71"/>
  </r>
  <r>
    <x v="0"/>
    <x v="0"/>
    <n v="800008"/>
    <x v="10"/>
    <n v="55.78"/>
    <x v="1"/>
    <n v="20.170000000000002"/>
  </r>
  <r>
    <x v="0"/>
    <x v="0"/>
    <n v="641001"/>
    <x v="11"/>
    <n v="50.24"/>
    <x v="1"/>
    <n v="30.53"/>
  </r>
  <r>
    <x v="0"/>
    <x v="0"/>
    <n v="160017"/>
    <x v="12"/>
    <n v="36.57"/>
    <x v="1"/>
    <n v="32.97"/>
  </r>
  <r>
    <x v="0"/>
    <x v="0"/>
    <n v="122001"/>
    <x v="13"/>
    <n v="27.89"/>
    <x v="1"/>
    <n v="27.41"/>
  </r>
  <r>
    <x v="0"/>
    <x v="0"/>
    <n v="492001"/>
    <x v="14"/>
    <n v="17.55"/>
    <x v="1"/>
    <n v="20.309999999999999"/>
  </r>
  <r>
    <x v="1"/>
    <x v="0"/>
    <n v="400001"/>
    <x v="0"/>
    <n v="328.6"/>
    <x v="1"/>
    <n v="27.42"/>
  </r>
  <r>
    <x v="1"/>
    <x v="0"/>
    <n v="110001"/>
    <x v="1"/>
    <n v="277.3"/>
    <x v="1"/>
    <n v="30.36"/>
  </r>
  <r>
    <x v="1"/>
    <x v="0"/>
    <n v="700001"/>
    <x v="2"/>
    <n v="255.04"/>
    <x v="1"/>
    <n v="31.02"/>
  </r>
  <r>
    <x v="1"/>
    <x v="0"/>
    <n v="560001"/>
    <x v="3"/>
    <n v="224.3"/>
    <x v="1"/>
    <n v="30.34"/>
  </r>
  <r>
    <x v="1"/>
    <x v="0"/>
    <n v="600001"/>
    <x v="4"/>
    <n v="191.44"/>
    <x v="1"/>
    <n v="21.66"/>
  </r>
  <r>
    <x v="1"/>
    <x v="0"/>
    <n v="500001"/>
    <x v="5"/>
    <n v="170.66"/>
    <x v="1"/>
    <n v="23.47"/>
  </r>
  <r>
    <x v="1"/>
    <x v="0"/>
    <n v="411001"/>
    <x v="6"/>
    <n v="162.18"/>
    <x v="1"/>
    <n v="32.57"/>
  </r>
  <r>
    <x v="1"/>
    <x v="0"/>
    <n v="380001"/>
    <x v="7"/>
    <n v="126.35"/>
    <x v="1"/>
    <n v="27.25"/>
  </r>
  <r>
    <x v="1"/>
    <x v="0"/>
    <n v="302001"/>
    <x v="8"/>
    <n v="90.74"/>
    <x v="1"/>
    <n v="31.9"/>
  </r>
  <r>
    <x v="1"/>
    <x v="0"/>
    <n v="226001"/>
    <x v="9"/>
    <n v="77.59"/>
    <x v="1"/>
    <n v="17.329999999999998"/>
  </r>
  <r>
    <x v="1"/>
    <x v="0"/>
    <n v="800008"/>
    <x v="10"/>
    <n v="64.02"/>
    <x v="1"/>
    <n v="31.64"/>
  </r>
  <r>
    <x v="1"/>
    <x v="0"/>
    <n v="641001"/>
    <x v="11"/>
    <n v="57.66"/>
    <x v="1"/>
    <n v="29.09"/>
  </r>
  <r>
    <x v="1"/>
    <x v="0"/>
    <n v="160017"/>
    <x v="12"/>
    <n v="41.98"/>
    <x v="1"/>
    <n v="29.39"/>
  </r>
  <r>
    <x v="1"/>
    <x v="0"/>
    <n v="122001"/>
    <x v="13"/>
    <n v="32.01"/>
    <x v="1"/>
    <n v="19.87"/>
  </r>
  <r>
    <x v="1"/>
    <x v="0"/>
    <n v="492001"/>
    <x v="14"/>
    <n v="20.14"/>
    <x v="1"/>
    <n v="26.89"/>
  </r>
  <r>
    <x v="2"/>
    <x v="0"/>
    <n v="400001"/>
    <x v="0"/>
    <n v="305.81"/>
    <x v="1"/>
    <n v="32.14"/>
  </r>
  <r>
    <x v="2"/>
    <x v="0"/>
    <n v="110001"/>
    <x v="1"/>
    <n v="258.07"/>
    <x v="1"/>
    <n v="31.97"/>
  </r>
  <r>
    <x v="2"/>
    <x v="0"/>
    <n v="700001"/>
    <x v="2"/>
    <n v="237.35"/>
    <x v="1"/>
    <n v="19.64"/>
  </r>
  <r>
    <x v="2"/>
    <x v="0"/>
    <n v="560001"/>
    <x v="3"/>
    <n v="208.74"/>
    <x v="1"/>
    <n v="28.13"/>
  </r>
  <r>
    <x v="2"/>
    <x v="0"/>
    <n v="600001"/>
    <x v="4"/>
    <n v="178.16"/>
    <x v="1"/>
    <n v="24.17"/>
  </r>
  <r>
    <x v="2"/>
    <x v="0"/>
    <n v="500001"/>
    <x v="5"/>
    <n v="158.83000000000001"/>
    <x v="1"/>
    <n v="31.95"/>
  </r>
  <r>
    <x v="2"/>
    <x v="0"/>
    <n v="411001"/>
    <x v="6"/>
    <n v="150.93"/>
    <x v="1"/>
    <n v="28.19"/>
  </r>
  <r>
    <x v="2"/>
    <x v="0"/>
    <n v="380001"/>
    <x v="7"/>
    <n v="117.59"/>
    <x v="1"/>
    <n v="20.420000000000002"/>
  </r>
  <r>
    <x v="2"/>
    <x v="0"/>
    <n v="302001"/>
    <x v="8"/>
    <n v="84.44"/>
    <x v="1"/>
    <n v="26.67"/>
  </r>
  <r>
    <x v="2"/>
    <x v="0"/>
    <n v="226001"/>
    <x v="9"/>
    <n v="72.209999999999994"/>
    <x v="1"/>
    <n v="24.99"/>
  </r>
  <r>
    <x v="2"/>
    <x v="0"/>
    <n v="800008"/>
    <x v="10"/>
    <n v="59.58"/>
    <x v="1"/>
    <n v="25.96"/>
  </r>
  <r>
    <x v="2"/>
    <x v="0"/>
    <n v="641001"/>
    <x v="11"/>
    <n v="53.67"/>
    <x v="1"/>
    <n v="18.309999999999999"/>
  </r>
  <r>
    <x v="2"/>
    <x v="0"/>
    <n v="160017"/>
    <x v="12"/>
    <n v="39.07"/>
    <x v="1"/>
    <n v="26"/>
  </r>
  <r>
    <x v="2"/>
    <x v="0"/>
    <n v="122001"/>
    <x v="13"/>
    <n v="29.79"/>
    <x v="1"/>
    <n v="31"/>
  </r>
  <r>
    <x v="2"/>
    <x v="0"/>
    <n v="492001"/>
    <x v="14"/>
    <n v="18.739999999999998"/>
    <x v="1"/>
    <n v="25.32"/>
  </r>
  <r>
    <x v="3"/>
    <x v="0"/>
    <n v="400001"/>
    <x v="0"/>
    <n v="324.26"/>
    <x v="1"/>
    <n v="28.26"/>
  </r>
  <r>
    <x v="3"/>
    <x v="0"/>
    <n v="110001"/>
    <x v="1"/>
    <n v="273.63"/>
    <x v="1"/>
    <n v="30.41"/>
  </r>
  <r>
    <x v="3"/>
    <x v="0"/>
    <n v="700001"/>
    <x v="2"/>
    <n v="251.67"/>
    <x v="1"/>
    <n v="27"/>
  </r>
  <r>
    <x v="3"/>
    <x v="0"/>
    <n v="560001"/>
    <x v="3"/>
    <n v="221.33"/>
    <x v="1"/>
    <n v="26.36"/>
  </r>
  <r>
    <x v="3"/>
    <x v="0"/>
    <n v="600001"/>
    <x v="4"/>
    <n v="188.91"/>
    <x v="1"/>
    <n v="32.229999999999997"/>
  </r>
  <r>
    <x v="3"/>
    <x v="0"/>
    <n v="500001"/>
    <x v="5"/>
    <n v="168.41"/>
    <x v="1"/>
    <n v="29.48"/>
  </r>
  <r>
    <x v="3"/>
    <x v="0"/>
    <n v="411001"/>
    <x v="6"/>
    <n v="160.04"/>
    <x v="1"/>
    <n v="19.73"/>
  </r>
  <r>
    <x v="3"/>
    <x v="0"/>
    <n v="380001"/>
    <x v="7"/>
    <n v="124.68"/>
    <x v="1"/>
    <n v="28.14"/>
  </r>
  <r>
    <x v="3"/>
    <x v="0"/>
    <n v="302001"/>
    <x v="8"/>
    <n v="89.54"/>
    <x v="1"/>
    <n v="30.37"/>
  </r>
  <r>
    <x v="3"/>
    <x v="0"/>
    <n v="226001"/>
    <x v="9"/>
    <n v="76.569999999999993"/>
    <x v="1"/>
    <n v="27.86"/>
  </r>
  <r>
    <x v="3"/>
    <x v="0"/>
    <n v="800008"/>
    <x v="10"/>
    <n v="63.18"/>
    <x v="1"/>
    <n v="28.65"/>
  </r>
  <r>
    <x v="3"/>
    <x v="0"/>
    <n v="641001"/>
    <x v="11"/>
    <n v="56.9"/>
    <x v="1"/>
    <n v="28.8"/>
  </r>
  <r>
    <x v="3"/>
    <x v="0"/>
    <n v="160017"/>
    <x v="12"/>
    <n v="41.42"/>
    <x v="1"/>
    <n v="17.34"/>
  </r>
  <r>
    <x v="3"/>
    <x v="0"/>
    <n v="122001"/>
    <x v="13"/>
    <n v="31.59"/>
    <x v="1"/>
    <n v="25.59"/>
  </r>
  <r>
    <x v="3"/>
    <x v="0"/>
    <n v="492001"/>
    <x v="14"/>
    <n v="19.87"/>
    <x v="1"/>
    <n v="23.98"/>
  </r>
  <r>
    <x v="4"/>
    <x v="1"/>
    <n v="400001"/>
    <x v="0"/>
    <n v="308"/>
    <x v="1"/>
    <n v="25.79"/>
  </r>
  <r>
    <x v="4"/>
    <x v="1"/>
    <n v="110001"/>
    <x v="1"/>
    <n v="253.61"/>
    <x v="1"/>
    <n v="29.72"/>
  </r>
  <r>
    <x v="4"/>
    <x v="1"/>
    <n v="700001"/>
    <x v="2"/>
    <n v="235.88"/>
    <x v="1"/>
    <n v="28.19"/>
  </r>
  <r>
    <x v="4"/>
    <x v="1"/>
    <n v="560001"/>
    <x v="3"/>
    <n v="211.24"/>
    <x v="1"/>
    <n v="34.450000000000003"/>
  </r>
  <r>
    <x v="4"/>
    <x v="1"/>
    <n v="600001"/>
    <x v="4"/>
    <n v="174.99"/>
    <x v="1"/>
    <n v="31.83"/>
  </r>
  <r>
    <x v="4"/>
    <x v="1"/>
    <n v="500001"/>
    <x v="5"/>
    <n v="157.63999999999999"/>
    <x v="1"/>
    <n v="31.38"/>
  </r>
  <r>
    <x v="4"/>
    <x v="1"/>
    <n v="411001"/>
    <x v="6"/>
    <n v="152.13"/>
    <x v="1"/>
    <n v="34.69"/>
  </r>
  <r>
    <x v="4"/>
    <x v="1"/>
    <n v="380001"/>
    <x v="7"/>
    <n v="115.47"/>
    <x v="1"/>
    <n v="30.83"/>
  </r>
  <r>
    <x v="4"/>
    <x v="1"/>
    <n v="302001"/>
    <x v="8"/>
    <n v="85.72"/>
    <x v="1"/>
    <n v="18.84"/>
  </r>
  <r>
    <x v="4"/>
    <x v="1"/>
    <n v="226001"/>
    <x v="9"/>
    <n v="73.7"/>
    <x v="1"/>
    <n v="33.049999999999997"/>
  </r>
  <r>
    <x v="4"/>
    <x v="1"/>
    <n v="800008"/>
    <x v="10"/>
    <n v="60.5"/>
    <x v="1"/>
    <n v="20.51"/>
  </r>
  <r>
    <x v="4"/>
    <x v="1"/>
    <n v="641001"/>
    <x v="11"/>
    <n v="53.6"/>
    <x v="1"/>
    <n v="30.84"/>
  </r>
  <r>
    <x v="4"/>
    <x v="1"/>
    <n v="160017"/>
    <x v="12"/>
    <n v="39.020000000000003"/>
    <x v="1"/>
    <n v="33.35"/>
  </r>
  <r>
    <x v="4"/>
    <x v="1"/>
    <n v="122001"/>
    <x v="13"/>
    <n v="30.35"/>
    <x v="1"/>
    <n v="27.73"/>
  </r>
  <r>
    <x v="4"/>
    <x v="1"/>
    <n v="492001"/>
    <x v="14"/>
    <n v="18.920000000000002"/>
    <x v="1"/>
    <n v="20.64"/>
  </r>
  <r>
    <x v="5"/>
    <x v="1"/>
    <n v="400001"/>
    <x v="0"/>
    <n v="348.85"/>
    <x v="1"/>
    <n v="27.91"/>
  </r>
  <r>
    <x v="5"/>
    <x v="1"/>
    <n v="110001"/>
    <x v="1"/>
    <n v="287.25"/>
    <x v="1"/>
    <n v="31"/>
  </r>
  <r>
    <x v="5"/>
    <x v="1"/>
    <n v="700001"/>
    <x v="2"/>
    <n v="267.16000000000003"/>
    <x v="1"/>
    <n v="31.46"/>
  </r>
  <r>
    <x v="5"/>
    <x v="1"/>
    <n v="560001"/>
    <x v="3"/>
    <n v="239.26"/>
    <x v="1"/>
    <n v="31"/>
  </r>
  <r>
    <x v="5"/>
    <x v="1"/>
    <n v="600001"/>
    <x v="4"/>
    <n v="198.2"/>
    <x v="1"/>
    <n v="22.28"/>
  </r>
  <r>
    <x v="5"/>
    <x v="1"/>
    <n v="500001"/>
    <x v="5"/>
    <n v="178.56"/>
    <x v="1"/>
    <n v="23.92"/>
  </r>
  <r>
    <x v="5"/>
    <x v="1"/>
    <n v="411001"/>
    <x v="6"/>
    <n v="172.31"/>
    <x v="1"/>
    <n v="33.14"/>
  </r>
  <r>
    <x v="5"/>
    <x v="1"/>
    <n v="380001"/>
    <x v="7"/>
    <n v="130.79"/>
    <x v="1"/>
    <n v="27.73"/>
  </r>
  <r>
    <x v="5"/>
    <x v="1"/>
    <n v="302001"/>
    <x v="8"/>
    <n v="97.09"/>
    <x v="1"/>
    <n v="32.479999999999997"/>
  </r>
  <r>
    <x v="5"/>
    <x v="1"/>
    <n v="226001"/>
    <x v="9"/>
    <n v="83.47"/>
    <x v="1"/>
    <n v="17.899999999999999"/>
  </r>
  <r>
    <x v="5"/>
    <x v="1"/>
    <n v="800008"/>
    <x v="10"/>
    <n v="68.52"/>
    <x v="1"/>
    <n v="32.24"/>
  </r>
  <r>
    <x v="5"/>
    <x v="1"/>
    <n v="641001"/>
    <x v="11"/>
    <n v="60.71"/>
    <x v="1"/>
    <n v="29.72"/>
  </r>
  <r>
    <x v="5"/>
    <x v="1"/>
    <n v="160017"/>
    <x v="12"/>
    <n v="44.19"/>
    <x v="1"/>
    <n v="29.83"/>
  </r>
  <r>
    <x v="5"/>
    <x v="1"/>
    <n v="122001"/>
    <x v="13"/>
    <n v="34.369999999999997"/>
    <x v="1"/>
    <n v="20.51"/>
  </r>
  <r>
    <x v="5"/>
    <x v="1"/>
    <n v="492001"/>
    <x v="14"/>
    <n v="21.43"/>
    <x v="1"/>
    <n v="27.41"/>
  </r>
  <r>
    <x v="6"/>
    <x v="1"/>
    <n v="400001"/>
    <x v="0"/>
    <n v="333.45"/>
    <x v="1"/>
    <n v="32.630000000000003"/>
  </r>
  <r>
    <x v="6"/>
    <x v="1"/>
    <n v="110001"/>
    <x v="1"/>
    <n v="274.57"/>
    <x v="1"/>
    <n v="32.43"/>
  </r>
  <r>
    <x v="6"/>
    <x v="1"/>
    <n v="700001"/>
    <x v="2"/>
    <n v="255.37"/>
    <x v="1"/>
    <n v="20.010000000000002"/>
  </r>
  <r>
    <x v="6"/>
    <x v="1"/>
    <n v="560001"/>
    <x v="3"/>
    <n v="228.7"/>
    <x v="1"/>
    <n v="28.48"/>
  </r>
  <r>
    <x v="6"/>
    <x v="1"/>
    <n v="600001"/>
    <x v="4"/>
    <n v="189.45"/>
    <x v="1"/>
    <n v="24.5"/>
  </r>
  <r>
    <x v="6"/>
    <x v="1"/>
    <n v="500001"/>
    <x v="5"/>
    <n v="170.67"/>
    <x v="1"/>
    <n v="32.33"/>
  </r>
  <r>
    <x v="6"/>
    <x v="1"/>
    <n v="411001"/>
    <x v="6"/>
    <n v="164.7"/>
    <x v="1"/>
    <n v="28.62"/>
  </r>
  <r>
    <x v="6"/>
    <x v="1"/>
    <n v="380001"/>
    <x v="7"/>
    <n v="125.02"/>
    <x v="1"/>
    <n v="20.76"/>
  </r>
  <r>
    <x v="6"/>
    <x v="1"/>
    <n v="302001"/>
    <x v="8"/>
    <n v="92.8"/>
    <x v="1"/>
    <n v="27.06"/>
  </r>
  <r>
    <x v="6"/>
    <x v="1"/>
    <n v="226001"/>
    <x v="9"/>
    <n v="79.790000000000006"/>
    <x v="1"/>
    <n v="25.32"/>
  </r>
  <r>
    <x v="6"/>
    <x v="1"/>
    <n v="800008"/>
    <x v="10"/>
    <n v="65.5"/>
    <x v="1"/>
    <n v="26.26"/>
  </r>
  <r>
    <x v="6"/>
    <x v="1"/>
    <n v="641001"/>
    <x v="11"/>
    <n v="58.03"/>
    <x v="1"/>
    <n v="18.68"/>
  </r>
  <r>
    <x v="6"/>
    <x v="1"/>
    <n v="160017"/>
    <x v="12"/>
    <n v="42.24"/>
    <x v="1"/>
    <n v="26.35"/>
  </r>
  <r>
    <x v="6"/>
    <x v="1"/>
    <n v="122001"/>
    <x v="13"/>
    <n v="32.85"/>
    <x v="1"/>
    <n v="31.41"/>
  </r>
  <r>
    <x v="6"/>
    <x v="1"/>
    <n v="492001"/>
    <x v="14"/>
    <n v="20.48"/>
    <x v="1"/>
    <n v="25.61"/>
  </r>
  <r>
    <x v="7"/>
    <x v="1"/>
    <n v="400001"/>
    <x v="0"/>
    <n v="349.97"/>
    <x v="1"/>
    <n v="28.82"/>
  </r>
  <r>
    <x v="7"/>
    <x v="1"/>
    <n v="110001"/>
    <x v="1"/>
    <n v="288.17"/>
    <x v="1"/>
    <n v="31.02"/>
  </r>
  <r>
    <x v="7"/>
    <x v="1"/>
    <n v="700001"/>
    <x v="2"/>
    <n v="268.02"/>
    <x v="1"/>
    <n v="27.51"/>
  </r>
  <r>
    <x v="7"/>
    <x v="1"/>
    <n v="560001"/>
    <x v="3"/>
    <n v="240.03"/>
    <x v="1"/>
    <n v="26.86"/>
  </r>
  <r>
    <x v="7"/>
    <x v="1"/>
    <n v="600001"/>
    <x v="4"/>
    <n v="198.83"/>
    <x v="1"/>
    <n v="32.840000000000003"/>
  </r>
  <r>
    <x v="7"/>
    <x v="1"/>
    <n v="500001"/>
    <x v="5"/>
    <n v="179.13"/>
    <x v="1"/>
    <n v="29.95"/>
  </r>
  <r>
    <x v="7"/>
    <x v="1"/>
    <n v="411001"/>
    <x v="6"/>
    <n v="172.86"/>
    <x v="1"/>
    <n v="20.34"/>
  </r>
  <r>
    <x v="7"/>
    <x v="1"/>
    <n v="380001"/>
    <x v="7"/>
    <n v="131.21"/>
    <x v="1"/>
    <n v="28.71"/>
  </r>
  <r>
    <x v="7"/>
    <x v="1"/>
    <n v="302001"/>
    <x v="8"/>
    <n v="97.4"/>
    <x v="1"/>
    <n v="30.93"/>
  </r>
  <r>
    <x v="7"/>
    <x v="1"/>
    <n v="226001"/>
    <x v="9"/>
    <n v="83.74"/>
    <x v="1"/>
    <n v="28.36"/>
  </r>
  <r>
    <x v="7"/>
    <x v="1"/>
    <n v="800008"/>
    <x v="10"/>
    <n v="68.739999999999995"/>
    <x v="1"/>
    <n v="29.16"/>
  </r>
  <r>
    <x v="7"/>
    <x v="1"/>
    <n v="641001"/>
    <x v="11"/>
    <n v="60.9"/>
    <x v="1"/>
    <n v="29.26"/>
  </r>
  <r>
    <x v="7"/>
    <x v="1"/>
    <n v="160017"/>
    <x v="12"/>
    <n v="44.33"/>
    <x v="1"/>
    <n v="17.809999999999999"/>
  </r>
  <r>
    <x v="7"/>
    <x v="1"/>
    <n v="122001"/>
    <x v="13"/>
    <n v="34.479999999999997"/>
    <x v="1"/>
    <n v="26.09"/>
  </r>
  <r>
    <x v="7"/>
    <x v="1"/>
    <n v="492001"/>
    <x v="14"/>
    <n v="21.5"/>
    <x v="1"/>
    <n v="24.4"/>
  </r>
  <r>
    <x v="0"/>
    <x v="0"/>
    <n v="400001"/>
    <x v="0"/>
    <n v="286.29000000000002"/>
    <x v="2"/>
    <n v="33.96"/>
  </r>
  <r>
    <x v="0"/>
    <x v="0"/>
    <n v="110001"/>
    <x v="1"/>
    <n v="241.59"/>
    <x v="2"/>
    <n v="35.770000000000003"/>
  </r>
  <r>
    <x v="0"/>
    <x v="0"/>
    <n v="700001"/>
    <x v="2"/>
    <n v="222.19"/>
    <x v="2"/>
    <n v="38.08"/>
  </r>
  <r>
    <x v="0"/>
    <x v="0"/>
    <n v="560001"/>
    <x v="3"/>
    <n v="195.41"/>
    <x v="2"/>
    <n v="33.01"/>
  </r>
  <r>
    <x v="0"/>
    <x v="0"/>
    <n v="600001"/>
    <x v="4"/>
    <n v="166.78"/>
    <x v="2"/>
    <n v="35.89"/>
  </r>
  <r>
    <x v="0"/>
    <x v="0"/>
    <n v="500001"/>
    <x v="5"/>
    <n v="148.68"/>
    <x v="2"/>
    <n v="34.049999999999997"/>
  </r>
  <r>
    <x v="0"/>
    <x v="0"/>
    <n v="411001"/>
    <x v="6"/>
    <n v="141.30000000000001"/>
    <x v="2"/>
    <n v="31.34"/>
  </r>
  <r>
    <x v="0"/>
    <x v="0"/>
    <n v="380001"/>
    <x v="7"/>
    <n v="110.08"/>
    <x v="2"/>
    <n v="32.08"/>
  </r>
  <r>
    <x v="0"/>
    <x v="0"/>
    <n v="302001"/>
    <x v="8"/>
    <n v="79.05"/>
    <x v="2"/>
    <n v="34.92"/>
  </r>
  <r>
    <x v="0"/>
    <x v="0"/>
    <n v="226001"/>
    <x v="9"/>
    <n v="67.599999999999994"/>
    <x v="2"/>
    <n v="31.28"/>
  </r>
  <r>
    <x v="0"/>
    <x v="0"/>
    <n v="800008"/>
    <x v="10"/>
    <n v="55.78"/>
    <x v="2"/>
    <n v="34.18"/>
  </r>
  <r>
    <x v="0"/>
    <x v="0"/>
    <n v="641001"/>
    <x v="11"/>
    <n v="50.24"/>
    <x v="2"/>
    <n v="36.64"/>
  </r>
  <r>
    <x v="0"/>
    <x v="0"/>
    <n v="160017"/>
    <x v="12"/>
    <n v="36.57"/>
    <x v="2"/>
    <n v="32.49"/>
  </r>
  <r>
    <x v="0"/>
    <x v="0"/>
    <n v="122001"/>
    <x v="13"/>
    <n v="27.89"/>
    <x v="2"/>
    <n v="35.33"/>
  </r>
  <r>
    <x v="0"/>
    <x v="0"/>
    <n v="492001"/>
    <x v="14"/>
    <n v="17.55"/>
    <x v="2"/>
    <n v="36.4"/>
  </r>
  <r>
    <x v="1"/>
    <x v="0"/>
    <n v="400001"/>
    <x v="0"/>
    <n v="328.6"/>
    <x v="2"/>
    <n v="36.83"/>
  </r>
  <r>
    <x v="1"/>
    <x v="0"/>
    <n v="110001"/>
    <x v="1"/>
    <n v="277.3"/>
    <x v="2"/>
    <n v="34.01"/>
  </r>
  <r>
    <x v="1"/>
    <x v="0"/>
    <n v="700001"/>
    <x v="2"/>
    <n v="255.04"/>
    <x v="2"/>
    <n v="36.01"/>
  </r>
  <r>
    <x v="1"/>
    <x v="0"/>
    <n v="560001"/>
    <x v="3"/>
    <n v="224.3"/>
    <x v="2"/>
    <n v="32.01"/>
  </r>
  <r>
    <x v="1"/>
    <x v="0"/>
    <n v="600001"/>
    <x v="4"/>
    <n v="191.44"/>
    <x v="2"/>
    <n v="31.77"/>
  </r>
  <r>
    <x v="1"/>
    <x v="0"/>
    <n v="500001"/>
    <x v="5"/>
    <n v="170.66"/>
    <x v="2"/>
    <n v="38.65"/>
  </r>
  <r>
    <x v="1"/>
    <x v="0"/>
    <n v="411001"/>
    <x v="6"/>
    <n v="162.18"/>
    <x v="2"/>
    <n v="33.9"/>
  </r>
  <r>
    <x v="1"/>
    <x v="0"/>
    <n v="380001"/>
    <x v="7"/>
    <n v="126.35"/>
    <x v="2"/>
    <n v="39.9"/>
  </r>
  <r>
    <x v="1"/>
    <x v="0"/>
    <n v="302001"/>
    <x v="8"/>
    <n v="90.74"/>
    <x v="2"/>
    <n v="33.520000000000003"/>
  </r>
  <r>
    <x v="1"/>
    <x v="0"/>
    <n v="226001"/>
    <x v="9"/>
    <n v="77.59"/>
    <x v="2"/>
    <n v="36.25"/>
  </r>
  <r>
    <x v="1"/>
    <x v="0"/>
    <n v="800008"/>
    <x v="10"/>
    <n v="64.02"/>
    <x v="2"/>
    <n v="31.56"/>
  </r>
  <r>
    <x v="1"/>
    <x v="0"/>
    <n v="641001"/>
    <x v="11"/>
    <n v="57.66"/>
    <x v="2"/>
    <n v="33.119999999999997"/>
  </r>
  <r>
    <x v="1"/>
    <x v="0"/>
    <n v="160017"/>
    <x v="12"/>
    <n v="41.98"/>
    <x v="2"/>
    <n v="35.369999999999997"/>
  </r>
  <r>
    <x v="1"/>
    <x v="0"/>
    <n v="122001"/>
    <x v="13"/>
    <n v="32.01"/>
    <x v="2"/>
    <n v="33.47"/>
  </r>
  <r>
    <x v="1"/>
    <x v="0"/>
    <n v="492001"/>
    <x v="14"/>
    <n v="20.14"/>
    <x v="2"/>
    <n v="35.36"/>
  </r>
  <r>
    <x v="2"/>
    <x v="0"/>
    <n v="400001"/>
    <x v="0"/>
    <n v="305.81"/>
    <x v="2"/>
    <n v="30.23"/>
  </r>
  <r>
    <x v="2"/>
    <x v="0"/>
    <n v="110001"/>
    <x v="1"/>
    <n v="258.07"/>
    <x v="2"/>
    <n v="33.159999999999997"/>
  </r>
  <r>
    <x v="2"/>
    <x v="0"/>
    <n v="700001"/>
    <x v="2"/>
    <n v="237.35"/>
    <x v="2"/>
    <n v="35.97"/>
  </r>
  <r>
    <x v="2"/>
    <x v="0"/>
    <n v="560001"/>
    <x v="3"/>
    <n v="208.74"/>
    <x v="2"/>
    <n v="33.78"/>
  </r>
  <r>
    <x v="2"/>
    <x v="0"/>
    <n v="600001"/>
    <x v="4"/>
    <n v="178.16"/>
    <x v="2"/>
    <n v="39.75"/>
  </r>
  <r>
    <x v="2"/>
    <x v="0"/>
    <n v="500001"/>
    <x v="5"/>
    <n v="158.83000000000001"/>
    <x v="2"/>
    <n v="32.130000000000003"/>
  </r>
  <r>
    <x v="2"/>
    <x v="0"/>
    <n v="411001"/>
    <x v="6"/>
    <n v="150.93"/>
    <x v="2"/>
    <n v="31.64"/>
  </r>
  <r>
    <x v="2"/>
    <x v="0"/>
    <n v="380001"/>
    <x v="7"/>
    <n v="117.59"/>
    <x v="2"/>
    <n v="37.880000000000003"/>
  </r>
  <r>
    <x v="2"/>
    <x v="0"/>
    <n v="302001"/>
    <x v="8"/>
    <n v="84.44"/>
    <x v="2"/>
    <n v="36.97"/>
  </r>
  <r>
    <x v="2"/>
    <x v="0"/>
    <n v="226001"/>
    <x v="9"/>
    <n v="72.209999999999994"/>
    <x v="2"/>
    <n v="37.79"/>
  </r>
  <r>
    <x v="2"/>
    <x v="0"/>
    <n v="800008"/>
    <x v="10"/>
    <n v="59.58"/>
    <x v="2"/>
    <n v="39.39"/>
  </r>
  <r>
    <x v="2"/>
    <x v="0"/>
    <n v="641001"/>
    <x v="11"/>
    <n v="53.67"/>
    <x v="2"/>
    <n v="32.85"/>
  </r>
  <r>
    <x v="2"/>
    <x v="0"/>
    <n v="160017"/>
    <x v="12"/>
    <n v="39.07"/>
    <x v="2"/>
    <n v="35.119999999999997"/>
  </r>
  <r>
    <x v="2"/>
    <x v="0"/>
    <n v="122001"/>
    <x v="13"/>
    <n v="29.79"/>
    <x v="2"/>
    <n v="33.909999999999997"/>
  </r>
  <r>
    <x v="2"/>
    <x v="0"/>
    <n v="492001"/>
    <x v="14"/>
    <n v="18.739999999999998"/>
    <x v="2"/>
    <n v="39.01"/>
  </r>
  <r>
    <x v="3"/>
    <x v="0"/>
    <n v="400001"/>
    <x v="0"/>
    <n v="324.26"/>
    <x v="2"/>
    <n v="32.22"/>
  </r>
  <r>
    <x v="3"/>
    <x v="0"/>
    <n v="110001"/>
    <x v="1"/>
    <n v="273.63"/>
    <x v="2"/>
    <n v="35.81"/>
  </r>
  <r>
    <x v="3"/>
    <x v="0"/>
    <n v="700001"/>
    <x v="2"/>
    <n v="251.67"/>
    <x v="2"/>
    <n v="38.01"/>
  </r>
  <r>
    <x v="3"/>
    <x v="0"/>
    <n v="560001"/>
    <x v="3"/>
    <n v="221.33"/>
    <x v="2"/>
    <n v="35.26"/>
  </r>
  <r>
    <x v="3"/>
    <x v="0"/>
    <n v="600001"/>
    <x v="4"/>
    <n v="188.91"/>
    <x v="2"/>
    <n v="33.15"/>
  </r>
  <r>
    <x v="3"/>
    <x v="0"/>
    <n v="500001"/>
    <x v="5"/>
    <n v="168.41"/>
    <x v="2"/>
    <n v="36.01"/>
  </r>
  <r>
    <x v="3"/>
    <x v="0"/>
    <n v="411001"/>
    <x v="6"/>
    <n v="160.04"/>
    <x v="2"/>
    <n v="37.08"/>
  </r>
  <r>
    <x v="3"/>
    <x v="0"/>
    <n v="380001"/>
    <x v="7"/>
    <n v="124.68"/>
    <x v="2"/>
    <n v="35.130000000000003"/>
  </r>
  <r>
    <x v="3"/>
    <x v="0"/>
    <n v="302001"/>
    <x v="8"/>
    <n v="89.54"/>
    <x v="2"/>
    <n v="33.229999999999997"/>
  </r>
  <r>
    <x v="3"/>
    <x v="0"/>
    <n v="226001"/>
    <x v="9"/>
    <n v="76.569999999999993"/>
    <x v="2"/>
    <n v="37.19"/>
  </r>
  <r>
    <x v="3"/>
    <x v="0"/>
    <n v="800008"/>
    <x v="10"/>
    <n v="63.18"/>
    <x v="2"/>
    <n v="35.35"/>
  </r>
  <r>
    <x v="3"/>
    <x v="0"/>
    <n v="641001"/>
    <x v="11"/>
    <n v="56.9"/>
    <x v="2"/>
    <n v="37.29"/>
  </r>
  <r>
    <x v="3"/>
    <x v="0"/>
    <n v="160017"/>
    <x v="12"/>
    <n v="41.42"/>
    <x v="2"/>
    <n v="40.369999999999997"/>
  </r>
  <r>
    <x v="3"/>
    <x v="0"/>
    <n v="122001"/>
    <x v="13"/>
    <n v="31.59"/>
    <x v="2"/>
    <n v="36.74"/>
  </r>
  <r>
    <x v="3"/>
    <x v="0"/>
    <n v="492001"/>
    <x v="14"/>
    <n v="19.87"/>
    <x v="2"/>
    <n v="37.270000000000003"/>
  </r>
  <r>
    <x v="4"/>
    <x v="1"/>
    <n v="400001"/>
    <x v="0"/>
    <n v="308"/>
    <x v="2"/>
    <n v="34.409999999999997"/>
  </r>
  <r>
    <x v="4"/>
    <x v="1"/>
    <n v="110001"/>
    <x v="1"/>
    <n v="253.61"/>
    <x v="2"/>
    <n v="36.229999999999997"/>
  </r>
  <r>
    <x v="4"/>
    <x v="1"/>
    <n v="700001"/>
    <x v="2"/>
    <n v="235.88"/>
    <x v="2"/>
    <n v="38.549999999999997"/>
  </r>
  <r>
    <x v="4"/>
    <x v="1"/>
    <n v="560001"/>
    <x v="3"/>
    <n v="211.24"/>
    <x v="2"/>
    <n v="33.479999999999997"/>
  </r>
  <r>
    <x v="4"/>
    <x v="1"/>
    <n v="600001"/>
    <x v="4"/>
    <n v="174.99"/>
    <x v="2"/>
    <n v="36.33"/>
  </r>
  <r>
    <x v="4"/>
    <x v="1"/>
    <n v="500001"/>
    <x v="5"/>
    <n v="157.63999999999999"/>
    <x v="2"/>
    <n v="34.549999999999997"/>
  </r>
  <r>
    <x v="4"/>
    <x v="1"/>
    <n v="411001"/>
    <x v="6"/>
    <n v="152.13"/>
    <x v="2"/>
    <n v="31.69"/>
  </r>
  <r>
    <x v="4"/>
    <x v="1"/>
    <n v="380001"/>
    <x v="7"/>
    <n v="115.47"/>
    <x v="2"/>
    <n v="32.479999999999997"/>
  </r>
  <r>
    <x v="4"/>
    <x v="1"/>
    <n v="302001"/>
    <x v="8"/>
    <n v="85.72"/>
    <x v="2"/>
    <n v="35.619999999999997"/>
  </r>
  <r>
    <x v="4"/>
    <x v="1"/>
    <n v="226001"/>
    <x v="9"/>
    <n v="73.7"/>
    <x v="2"/>
    <n v="31.61"/>
  </r>
  <r>
    <x v="4"/>
    <x v="1"/>
    <n v="800008"/>
    <x v="10"/>
    <n v="60.5"/>
    <x v="2"/>
    <n v="34.75"/>
  </r>
  <r>
    <x v="4"/>
    <x v="1"/>
    <n v="641001"/>
    <x v="11"/>
    <n v="53.6"/>
    <x v="2"/>
    <n v="37.01"/>
  </r>
  <r>
    <x v="4"/>
    <x v="1"/>
    <n v="160017"/>
    <x v="12"/>
    <n v="39.020000000000003"/>
    <x v="2"/>
    <n v="32.86"/>
  </r>
  <r>
    <x v="4"/>
    <x v="1"/>
    <n v="122001"/>
    <x v="13"/>
    <n v="30.35"/>
    <x v="2"/>
    <n v="35.74"/>
  </r>
  <r>
    <x v="4"/>
    <x v="1"/>
    <n v="492001"/>
    <x v="14"/>
    <n v="18.920000000000002"/>
    <x v="2"/>
    <n v="37"/>
  </r>
  <r>
    <x v="5"/>
    <x v="1"/>
    <n v="400001"/>
    <x v="0"/>
    <n v="348.85"/>
    <x v="2"/>
    <n v="37.49"/>
  </r>
  <r>
    <x v="5"/>
    <x v="1"/>
    <n v="110001"/>
    <x v="1"/>
    <n v="287.25"/>
    <x v="2"/>
    <n v="34.72"/>
  </r>
  <r>
    <x v="5"/>
    <x v="1"/>
    <n v="700001"/>
    <x v="2"/>
    <n v="267.16000000000003"/>
    <x v="2"/>
    <n v="36.53"/>
  </r>
  <r>
    <x v="5"/>
    <x v="1"/>
    <n v="560001"/>
    <x v="3"/>
    <n v="239.26"/>
    <x v="2"/>
    <n v="32.700000000000003"/>
  </r>
  <r>
    <x v="5"/>
    <x v="1"/>
    <n v="600001"/>
    <x v="4"/>
    <n v="198.2"/>
    <x v="2"/>
    <n v="32.68"/>
  </r>
  <r>
    <x v="5"/>
    <x v="1"/>
    <n v="500001"/>
    <x v="5"/>
    <n v="178.56"/>
    <x v="2"/>
    <n v="39.39"/>
  </r>
  <r>
    <x v="5"/>
    <x v="1"/>
    <n v="411001"/>
    <x v="6"/>
    <n v="172.31"/>
    <x v="2"/>
    <n v="34.49"/>
  </r>
  <r>
    <x v="5"/>
    <x v="1"/>
    <n v="380001"/>
    <x v="7"/>
    <n v="130.79"/>
    <x v="2"/>
    <n v="40.6"/>
  </r>
  <r>
    <x v="5"/>
    <x v="1"/>
    <n v="302001"/>
    <x v="8"/>
    <n v="97.09"/>
    <x v="2"/>
    <n v="34.130000000000003"/>
  </r>
  <r>
    <x v="5"/>
    <x v="1"/>
    <n v="226001"/>
    <x v="9"/>
    <n v="83.47"/>
    <x v="2"/>
    <n v="37.450000000000003"/>
  </r>
  <r>
    <x v="5"/>
    <x v="1"/>
    <n v="800008"/>
    <x v="10"/>
    <n v="68.52"/>
    <x v="2"/>
    <n v="32.159999999999997"/>
  </r>
  <r>
    <x v="5"/>
    <x v="1"/>
    <n v="641001"/>
    <x v="11"/>
    <n v="60.71"/>
    <x v="2"/>
    <n v="33.83"/>
  </r>
  <r>
    <x v="5"/>
    <x v="1"/>
    <n v="160017"/>
    <x v="12"/>
    <n v="44.19"/>
    <x v="2"/>
    <n v="35.9"/>
  </r>
  <r>
    <x v="5"/>
    <x v="1"/>
    <n v="122001"/>
    <x v="13"/>
    <n v="34.369999999999997"/>
    <x v="2"/>
    <n v="34.54"/>
  </r>
  <r>
    <x v="5"/>
    <x v="1"/>
    <n v="492001"/>
    <x v="14"/>
    <n v="21.43"/>
    <x v="2"/>
    <n v="36.04"/>
  </r>
  <r>
    <x v="6"/>
    <x v="1"/>
    <n v="400001"/>
    <x v="0"/>
    <n v="333.45"/>
    <x v="2"/>
    <n v="30.69"/>
  </r>
  <r>
    <x v="6"/>
    <x v="1"/>
    <n v="110001"/>
    <x v="1"/>
    <n v="274.57"/>
    <x v="2"/>
    <n v="33.630000000000003"/>
  </r>
  <r>
    <x v="6"/>
    <x v="1"/>
    <n v="700001"/>
    <x v="2"/>
    <n v="255.37"/>
    <x v="2"/>
    <n v="36.64"/>
  </r>
  <r>
    <x v="6"/>
    <x v="1"/>
    <n v="560001"/>
    <x v="3"/>
    <n v="228.7"/>
    <x v="2"/>
    <n v="34.200000000000003"/>
  </r>
  <r>
    <x v="6"/>
    <x v="1"/>
    <n v="600001"/>
    <x v="4"/>
    <n v="189.45"/>
    <x v="2"/>
    <n v="40.299999999999997"/>
  </r>
  <r>
    <x v="6"/>
    <x v="1"/>
    <n v="500001"/>
    <x v="5"/>
    <n v="170.67"/>
    <x v="2"/>
    <n v="32.520000000000003"/>
  </r>
  <r>
    <x v="6"/>
    <x v="1"/>
    <n v="411001"/>
    <x v="6"/>
    <n v="164.7"/>
    <x v="2"/>
    <n v="32.119999999999997"/>
  </r>
  <r>
    <x v="6"/>
    <x v="1"/>
    <n v="380001"/>
    <x v="7"/>
    <n v="125.02"/>
    <x v="2"/>
    <n v="38.5"/>
  </r>
  <r>
    <x v="6"/>
    <x v="1"/>
    <n v="302001"/>
    <x v="8"/>
    <n v="92.8"/>
    <x v="2"/>
    <n v="37.51"/>
  </r>
  <r>
    <x v="6"/>
    <x v="1"/>
    <n v="226001"/>
    <x v="9"/>
    <n v="79.790000000000006"/>
    <x v="2"/>
    <n v="38.28"/>
  </r>
  <r>
    <x v="6"/>
    <x v="1"/>
    <n v="800008"/>
    <x v="10"/>
    <n v="65.5"/>
    <x v="2"/>
    <n v="39.85"/>
  </r>
  <r>
    <x v="6"/>
    <x v="1"/>
    <n v="641001"/>
    <x v="11"/>
    <n v="58.03"/>
    <x v="2"/>
    <n v="33.520000000000003"/>
  </r>
  <r>
    <x v="6"/>
    <x v="1"/>
    <n v="160017"/>
    <x v="12"/>
    <n v="42.24"/>
    <x v="2"/>
    <n v="35.590000000000003"/>
  </r>
  <r>
    <x v="6"/>
    <x v="1"/>
    <n v="122001"/>
    <x v="13"/>
    <n v="32.85"/>
    <x v="2"/>
    <n v="34.36"/>
  </r>
  <r>
    <x v="6"/>
    <x v="1"/>
    <n v="492001"/>
    <x v="14"/>
    <n v="20.48"/>
    <x v="2"/>
    <n v="39.46"/>
  </r>
  <r>
    <x v="7"/>
    <x v="1"/>
    <n v="400001"/>
    <x v="0"/>
    <n v="349.97"/>
    <x v="2"/>
    <n v="32.86"/>
  </r>
  <r>
    <x v="7"/>
    <x v="1"/>
    <n v="110001"/>
    <x v="1"/>
    <n v="288.17"/>
    <x v="2"/>
    <n v="36.53"/>
  </r>
  <r>
    <x v="7"/>
    <x v="1"/>
    <n v="700001"/>
    <x v="2"/>
    <n v="268.02"/>
    <x v="2"/>
    <n v="38.729999999999997"/>
  </r>
  <r>
    <x v="7"/>
    <x v="1"/>
    <n v="560001"/>
    <x v="3"/>
    <n v="240.03"/>
    <x v="2"/>
    <n v="35.93"/>
  </r>
  <r>
    <x v="7"/>
    <x v="1"/>
    <n v="600001"/>
    <x v="4"/>
    <n v="198.83"/>
    <x v="2"/>
    <n v="33.770000000000003"/>
  </r>
  <r>
    <x v="7"/>
    <x v="1"/>
    <n v="500001"/>
    <x v="5"/>
    <n v="179.13"/>
    <x v="2"/>
    <n v="36.590000000000003"/>
  </r>
  <r>
    <x v="7"/>
    <x v="1"/>
    <n v="411001"/>
    <x v="6"/>
    <n v="172.86"/>
    <x v="2"/>
    <n v="38.229999999999997"/>
  </r>
  <r>
    <x v="7"/>
    <x v="1"/>
    <n v="380001"/>
    <x v="7"/>
    <n v="131.21"/>
    <x v="2"/>
    <n v="35.840000000000003"/>
  </r>
  <r>
    <x v="7"/>
    <x v="1"/>
    <n v="302001"/>
    <x v="8"/>
    <n v="97.4"/>
    <x v="2"/>
    <n v="33.85"/>
  </r>
  <r>
    <x v="7"/>
    <x v="1"/>
    <n v="226001"/>
    <x v="9"/>
    <n v="83.74"/>
    <x v="2"/>
    <n v="37.85"/>
  </r>
  <r>
    <x v="7"/>
    <x v="1"/>
    <n v="800008"/>
    <x v="10"/>
    <n v="68.739999999999995"/>
    <x v="2"/>
    <n v="35.979999999999997"/>
  </r>
  <r>
    <x v="7"/>
    <x v="1"/>
    <n v="641001"/>
    <x v="11"/>
    <n v="60.9"/>
    <x v="2"/>
    <n v="37.880000000000003"/>
  </r>
  <r>
    <x v="7"/>
    <x v="1"/>
    <n v="160017"/>
    <x v="12"/>
    <n v="44.33"/>
    <x v="2"/>
    <n v="41.46"/>
  </r>
  <r>
    <x v="7"/>
    <x v="1"/>
    <n v="122001"/>
    <x v="13"/>
    <n v="34.479999999999997"/>
    <x v="2"/>
    <n v="37.46"/>
  </r>
  <r>
    <x v="7"/>
    <x v="1"/>
    <n v="492001"/>
    <x v="14"/>
    <n v="21.5"/>
    <x v="2"/>
    <n v="37.92"/>
  </r>
  <r>
    <x v="0"/>
    <x v="0"/>
    <n v="400001"/>
    <x v="0"/>
    <n v="286.29000000000002"/>
    <x v="3"/>
    <n v="11.87"/>
  </r>
  <r>
    <x v="0"/>
    <x v="0"/>
    <n v="110001"/>
    <x v="1"/>
    <n v="241.59"/>
    <x v="3"/>
    <n v="10.64"/>
  </r>
  <r>
    <x v="0"/>
    <x v="0"/>
    <n v="700001"/>
    <x v="2"/>
    <n v="222.19"/>
    <x v="3"/>
    <n v="9.5299999999999994"/>
  </r>
  <r>
    <x v="0"/>
    <x v="0"/>
    <n v="560001"/>
    <x v="3"/>
    <n v="195.41"/>
    <x v="3"/>
    <n v="8.42"/>
  </r>
  <r>
    <x v="0"/>
    <x v="0"/>
    <n v="600001"/>
    <x v="4"/>
    <n v="166.78"/>
    <x v="3"/>
    <n v="7.17"/>
  </r>
  <r>
    <x v="0"/>
    <x v="0"/>
    <n v="500001"/>
    <x v="5"/>
    <n v="148.68"/>
    <x v="3"/>
    <n v="8.67"/>
  </r>
  <r>
    <x v="0"/>
    <x v="0"/>
    <n v="411001"/>
    <x v="6"/>
    <n v="141.30000000000001"/>
    <x v="3"/>
    <n v="8.76"/>
  </r>
  <r>
    <x v="0"/>
    <x v="0"/>
    <n v="380001"/>
    <x v="7"/>
    <n v="110.08"/>
    <x v="3"/>
    <n v="11.88"/>
  </r>
  <r>
    <x v="0"/>
    <x v="0"/>
    <n v="302001"/>
    <x v="8"/>
    <n v="79.05"/>
    <x v="3"/>
    <n v="12.19"/>
  </r>
  <r>
    <x v="0"/>
    <x v="0"/>
    <n v="226001"/>
    <x v="9"/>
    <n v="67.599999999999994"/>
    <x v="3"/>
    <n v="13.12"/>
  </r>
  <r>
    <x v="0"/>
    <x v="0"/>
    <n v="800008"/>
    <x v="10"/>
    <n v="55.78"/>
    <x v="3"/>
    <n v="12.14"/>
  </r>
  <r>
    <x v="0"/>
    <x v="0"/>
    <n v="641001"/>
    <x v="11"/>
    <n v="50.24"/>
    <x v="3"/>
    <n v="8.24"/>
  </r>
  <r>
    <x v="0"/>
    <x v="0"/>
    <n v="160017"/>
    <x v="12"/>
    <n v="36.57"/>
    <x v="3"/>
    <n v="8.3699999999999992"/>
  </r>
  <r>
    <x v="0"/>
    <x v="0"/>
    <n v="122001"/>
    <x v="13"/>
    <n v="27.89"/>
    <x v="3"/>
    <n v="10.220000000000001"/>
  </r>
  <r>
    <x v="0"/>
    <x v="0"/>
    <n v="492001"/>
    <x v="14"/>
    <n v="17.55"/>
    <x v="3"/>
    <n v="12.36"/>
  </r>
  <r>
    <x v="1"/>
    <x v="0"/>
    <n v="400001"/>
    <x v="0"/>
    <n v="328.6"/>
    <x v="3"/>
    <n v="11.47"/>
  </r>
  <r>
    <x v="1"/>
    <x v="0"/>
    <n v="110001"/>
    <x v="1"/>
    <n v="277.3"/>
    <x v="3"/>
    <n v="8.9"/>
  </r>
  <r>
    <x v="1"/>
    <x v="0"/>
    <n v="700001"/>
    <x v="2"/>
    <n v="255.04"/>
    <x v="3"/>
    <n v="9.77"/>
  </r>
  <r>
    <x v="1"/>
    <x v="0"/>
    <n v="560001"/>
    <x v="3"/>
    <n v="224.3"/>
    <x v="3"/>
    <n v="9.27"/>
  </r>
  <r>
    <x v="1"/>
    <x v="0"/>
    <n v="600001"/>
    <x v="4"/>
    <n v="191.44"/>
    <x v="3"/>
    <n v="9.4"/>
  </r>
  <r>
    <x v="1"/>
    <x v="0"/>
    <n v="500001"/>
    <x v="5"/>
    <n v="170.66"/>
    <x v="3"/>
    <n v="11.52"/>
  </r>
  <r>
    <x v="1"/>
    <x v="0"/>
    <n v="411001"/>
    <x v="6"/>
    <n v="162.18"/>
    <x v="3"/>
    <n v="8.39"/>
  </r>
  <r>
    <x v="1"/>
    <x v="0"/>
    <n v="380001"/>
    <x v="7"/>
    <n v="126.35"/>
    <x v="3"/>
    <n v="8.48"/>
  </r>
  <r>
    <x v="1"/>
    <x v="0"/>
    <n v="302001"/>
    <x v="8"/>
    <n v="90.74"/>
    <x v="3"/>
    <n v="11.18"/>
  </r>
  <r>
    <x v="1"/>
    <x v="0"/>
    <n v="226001"/>
    <x v="9"/>
    <n v="77.59"/>
    <x v="3"/>
    <n v="8.94"/>
  </r>
  <r>
    <x v="1"/>
    <x v="0"/>
    <n v="800008"/>
    <x v="10"/>
    <n v="64.02"/>
    <x v="3"/>
    <n v="10.87"/>
  </r>
  <r>
    <x v="1"/>
    <x v="0"/>
    <n v="641001"/>
    <x v="11"/>
    <n v="57.66"/>
    <x v="3"/>
    <n v="9.68"/>
  </r>
  <r>
    <x v="1"/>
    <x v="0"/>
    <n v="160017"/>
    <x v="12"/>
    <n v="41.98"/>
    <x v="3"/>
    <n v="11.25"/>
  </r>
  <r>
    <x v="1"/>
    <x v="0"/>
    <n v="122001"/>
    <x v="13"/>
    <n v="32.01"/>
    <x v="3"/>
    <n v="8.69"/>
  </r>
  <r>
    <x v="1"/>
    <x v="0"/>
    <n v="492001"/>
    <x v="14"/>
    <n v="20.14"/>
    <x v="3"/>
    <n v="10.25"/>
  </r>
  <r>
    <x v="2"/>
    <x v="0"/>
    <n v="400001"/>
    <x v="0"/>
    <n v="305.81"/>
    <x v="3"/>
    <n v="11.66"/>
  </r>
  <r>
    <x v="2"/>
    <x v="0"/>
    <n v="110001"/>
    <x v="1"/>
    <n v="258.07"/>
    <x v="3"/>
    <n v="7.72"/>
  </r>
  <r>
    <x v="2"/>
    <x v="0"/>
    <n v="700001"/>
    <x v="2"/>
    <n v="237.35"/>
    <x v="3"/>
    <n v="8.8800000000000008"/>
  </r>
  <r>
    <x v="2"/>
    <x v="0"/>
    <n v="560001"/>
    <x v="3"/>
    <n v="208.74"/>
    <x v="3"/>
    <n v="11.17"/>
  </r>
  <r>
    <x v="2"/>
    <x v="0"/>
    <n v="600001"/>
    <x v="4"/>
    <n v="178.16"/>
    <x v="3"/>
    <n v="12.83"/>
  </r>
  <r>
    <x v="2"/>
    <x v="0"/>
    <n v="500001"/>
    <x v="5"/>
    <n v="158.83000000000001"/>
    <x v="3"/>
    <n v="11.53"/>
  </r>
  <r>
    <x v="2"/>
    <x v="0"/>
    <n v="411001"/>
    <x v="6"/>
    <n v="150.93"/>
    <x v="3"/>
    <n v="12.37"/>
  </r>
  <r>
    <x v="2"/>
    <x v="0"/>
    <n v="380001"/>
    <x v="7"/>
    <n v="117.59"/>
    <x v="3"/>
    <n v="10.09"/>
  </r>
  <r>
    <x v="2"/>
    <x v="0"/>
    <n v="302001"/>
    <x v="8"/>
    <n v="84.44"/>
    <x v="3"/>
    <n v="10.65"/>
  </r>
  <r>
    <x v="2"/>
    <x v="0"/>
    <n v="226001"/>
    <x v="9"/>
    <n v="72.209999999999994"/>
    <x v="3"/>
    <n v="8.6999999999999993"/>
  </r>
  <r>
    <x v="2"/>
    <x v="0"/>
    <n v="800008"/>
    <x v="10"/>
    <n v="59.58"/>
    <x v="3"/>
    <n v="10.49"/>
  </r>
  <r>
    <x v="2"/>
    <x v="0"/>
    <n v="641001"/>
    <x v="11"/>
    <n v="53.67"/>
    <x v="3"/>
    <n v="8.2200000000000006"/>
  </r>
  <r>
    <x v="2"/>
    <x v="0"/>
    <n v="160017"/>
    <x v="12"/>
    <n v="39.07"/>
    <x v="3"/>
    <n v="10.5"/>
  </r>
  <r>
    <x v="2"/>
    <x v="0"/>
    <n v="122001"/>
    <x v="13"/>
    <n v="29.79"/>
    <x v="3"/>
    <n v="8.08"/>
  </r>
  <r>
    <x v="2"/>
    <x v="0"/>
    <n v="492001"/>
    <x v="14"/>
    <n v="18.739999999999998"/>
    <x v="3"/>
    <n v="9.49"/>
  </r>
  <r>
    <x v="3"/>
    <x v="0"/>
    <n v="400001"/>
    <x v="0"/>
    <n v="324.26"/>
    <x v="3"/>
    <n v="12.18"/>
  </r>
  <r>
    <x v="3"/>
    <x v="0"/>
    <n v="110001"/>
    <x v="1"/>
    <n v="273.63"/>
    <x v="3"/>
    <n v="9.4600000000000009"/>
  </r>
  <r>
    <x v="3"/>
    <x v="0"/>
    <n v="700001"/>
    <x v="2"/>
    <n v="251.67"/>
    <x v="3"/>
    <n v="9.18"/>
  </r>
  <r>
    <x v="3"/>
    <x v="0"/>
    <n v="560001"/>
    <x v="3"/>
    <n v="221.33"/>
    <x v="3"/>
    <n v="11.46"/>
  </r>
  <r>
    <x v="3"/>
    <x v="0"/>
    <n v="600001"/>
    <x v="4"/>
    <n v="188.91"/>
    <x v="3"/>
    <n v="9.52"/>
  </r>
  <r>
    <x v="3"/>
    <x v="0"/>
    <n v="500001"/>
    <x v="5"/>
    <n v="168.41"/>
    <x v="3"/>
    <n v="9.09"/>
  </r>
  <r>
    <x v="3"/>
    <x v="0"/>
    <n v="411001"/>
    <x v="6"/>
    <n v="160.04"/>
    <x v="3"/>
    <n v="8.02"/>
  </r>
  <r>
    <x v="3"/>
    <x v="0"/>
    <n v="380001"/>
    <x v="7"/>
    <n v="124.68"/>
    <x v="3"/>
    <n v="10.89"/>
  </r>
  <r>
    <x v="3"/>
    <x v="0"/>
    <n v="302001"/>
    <x v="8"/>
    <n v="89.54"/>
    <x v="3"/>
    <n v="12.47"/>
  </r>
  <r>
    <x v="3"/>
    <x v="0"/>
    <n v="226001"/>
    <x v="9"/>
    <n v="76.569999999999993"/>
    <x v="3"/>
    <n v="11.29"/>
  </r>
  <r>
    <x v="3"/>
    <x v="0"/>
    <n v="800008"/>
    <x v="10"/>
    <n v="63.18"/>
    <x v="3"/>
    <n v="11.54"/>
  </r>
  <r>
    <x v="3"/>
    <x v="0"/>
    <n v="641001"/>
    <x v="11"/>
    <n v="56.9"/>
    <x v="3"/>
    <n v="11.35"/>
  </r>
  <r>
    <x v="3"/>
    <x v="0"/>
    <n v="160017"/>
    <x v="12"/>
    <n v="41.42"/>
    <x v="3"/>
    <n v="9.82"/>
  </r>
  <r>
    <x v="3"/>
    <x v="0"/>
    <n v="122001"/>
    <x v="13"/>
    <n v="31.59"/>
    <x v="3"/>
    <n v="10.52"/>
  </r>
  <r>
    <x v="3"/>
    <x v="0"/>
    <n v="492001"/>
    <x v="14"/>
    <n v="19.87"/>
    <x v="3"/>
    <n v="12.31"/>
  </r>
  <r>
    <x v="4"/>
    <x v="1"/>
    <n v="400001"/>
    <x v="0"/>
    <n v="308"/>
    <x v="3"/>
    <n v="12.03"/>
  </r>
  <r>
    <x v="4"/>
    <x v="1"/>
    <n v="110001"/>
    <x v="1"/>
    <n v="253.61"/>
    <x v="3"/>
    <n v="10.78"/>
  </r>
  <r>
    <x v="4"/>
    <x v="1"/>
    <n v="700001"/>
    <x v="2"/>
    <n v="235.88"/>
    <x v="3"/>
    <n v="9.65"/>
  </r>
  <r>
    <x v="4"/>
    <x v="1"/>
    <n v="560001"/>
    <x v="3"/>
    <n v="211.24"/>
    <x v="3"/>
    <n v="8.5399999999999991"/>
  </r>
  <r>
    <x v="4"/>
    <x v="1"/>
    <n v="600001"/>
    <x v="4"/>
    <n v="174.99"/>
    <x v="3"/>
    <n v="7.26"/>
  </r>
  <r>
    <x v="4"/>
    <x v="1"/>
    <n v="500001"/>
    <x v="5"/>
    <n v="157.63999999999999"/>
    <x v="3"/>
    <n v="8.8000000000000007"/>
  </r>
  <r>
    <x v="4"/>
    <x v="1"/>
    <n v="411001"/>
    <x v="6"/>
    <n v="152.13"/>
    <x v="3"/>
    <n v="8.86"/>
  </r>
  <r>
    <x v="4"/>
    <x v="1"/>
    <n v="380001"/>
    <x v="7"/>
    <n v="115.47"/>
    <x v="3"/>
    <n v="12.03"/>
  </r>
  <r>
    <x v="4"/>
    <x v="1"/>
    <n v="302001"/>
    <x v="8"/>
    <n v="85.72"/>
    <x v="3"/>
    <n v="12.43"/>
  </r>
  <r>
    <x v="4"/>
    <x v="1"/>
    <n v="226001"/>
    <x v="9"/>
    <n v="73.7"/>
    <x v="3"/>
    <n v="13.26"/>
  </r>
  <r>
    <x v="4"/>
    <x v="1"/>
    <n v="800008"/>
    <x v="10"/>
    <n v="60.5"/>
    <x v="3"/>
    <n v="12.34"/>
  </r>
  <r>
    <x v="4"/>
    <x v="1"/>
    <n v="641001"/>
    <x v="11"/>
    <n v="53.6"/>
    <x v="3"/>
    <n v="8.32"/>
  </r>
  <r>
    <x v="4"/>
    <x v="1"/>
    <n v="160017"/>
    <x v="12"/>
    <n v="39.020000000000003"/>
    <x v="3"/>
    <n v="8.4700000000000006"/>
  </r>
  <r>
    <x v="4"/>
    <x v="1"/>
    <n v="122001"/>
    <x v="13"/>
    <n v="30.35"/>
    <x v="3"/>
    <n v="10.34"/>
  </r>
  <r>
    <x v="4"/>
    <x v="1"/>
    <n v="492001"/>
    <x v="14"/>
    <n v="18.920000000000002"/>
    <x v="3"/>
    <n v="12.56"/>
  </r>
  <r>
    <x v="5"/>
    <x v="1"/>
    <n v="400001"/>
    <x v="0"/>
    <n v="348.85"/>
    <x v="3"/>
    <n v="11.67"/>
  </r>
  <r>
    <x v="5"/>
    <x v="1"/>
    <n v="110001"/>
    <x v="1"/>
    <n v="287.25"/>
    <x v="3"/>
    <n v="9.09"/>
  </r>
  <r>
    <x v="5"/>
    <x v="1"/>
    <n v="700001"/>
    <x v="2"/>
    <n v="267.16000000000003"/>
    <x v="3"/>
    <n v="9.91"/>
  </r>
  <r>
    <x v="5"/>
    <x v="1"/>
    <n v="560001"/>
    <x v="3"/>
    <n v="239.26"/>
    <x v="3"/>
    <n v="9.4700000000000006"/>
  </r>
  <r>
    <x v="5"/>
    <x v="1"/>
    <n v="600001"/>
    <x v="4"/>
    <n v="198.2"/>
    <x v="3"/>
    <n v="9.67"/>
  </r>
  <r>
    <x v="5"/>
    <x v="1"/>
    <n v="500001"/>
    <x v="5"/>
    <n v="178.56"/>
    <x v="3"/>
    <n v="11.74"/>
  </r>
  <r>
    <x v="5"/>
    <x v="1"/>
    <n v="411001"/>
    <x v="6"/>
    <n v="172.31"/>
    <x v="3"/>
    <n v="8.5399999999999991"/>
  </r>
  <r>
    <x v="5"/>
    <x v="1"/>
    <n v="380001"/>
    <x v="7"/>
    <n v="130.79"/>
    <x v="3"/>
    <n v="8.6300000000000008"/>
  </r>
  <r>
    <x v="5"/>
    <x v="1"/>
    <n v="302001"/>
    <x v="8"/>
    <n v="97.09"/>
    <x v="3"/>
    <n v="11.38"/>
  </r>
  <r>
    <x v="5"/>
    <x v="1"/>
    <n v="226001"/>
    <x v="9"/>
    <n v="83.47"/>
    <x v="3"/>
    <n v="9.24"/>
  </r>
  <r>
    <x v="5"/>
    <x v="1"/>
    <n v="800008"/>
    <x v="10"/>
    <n v="68.52"/>
    <x v="3"/>
    <n v="11.08"/>
  </r>
  <r>
    <x v="5"/>
    <x v="1"/>
    <n v="641001"/>
    <x v="11"/>
    <n v="60.71"/>
    <x v="3"/>
    <n v="9.89"/>
  </r>
  <r>
    <x v="5"/>
    <x v="1"/>
    <n v="160017"/>
    <x v="12"/>
    <n v="44.19"/>
    <x v="3"/>
    <n v="11.42"/>
  </r>
  <r>
    <x v="5"/>
    <x v="1"/>
    <n v="122001"/>
    <x v="13"/>
    <n v="34.369999999999997"/>
    <x v="3"/>
    <n v="8.9700000000000006"/>
  </r>
  <r>
    <x v="5"/>
    <x v="1"/>
    <n v="492001"/>
    <x v="14"/>
    <n v="21.43"/>
    <x v="3"/>
    <n v="10.45"/>
  </r>
  <r>
    <x v="6"/>
    <x v="1"/>
    <n v="400001"/>
    <x v="0"/>
    <n v="333.45"/>
    <x v="3"/>
    <n v="11.84"/>
  </r>
  <r>
    <x v="6"/>
    <x v="1"/>
    <n v="110001"/>
    <x v="1"/>
    <n v="274.57"/>
    <x v="3"/>
    <n v="7.83"/>
  </r>
  <r>
    <x v="6"/>
    <x v="1"/>
    <n v="700001"/>
    <x v="2"/>
    <n v="255.37"/>
    <x v="3"/>
    <n v="9.0500000000000007"/>
  </r>
  <r>
    <x v="6"/>
    <x v="1"/>
    <n v="560001"/>
    <x v="3"/>
    <n v="228.7"/>
    <x v="3"/>
    <n v="11.31"/>
  </r>
  <r>
    <x v="6"/>
    <x v="1"/>
    <n v="600001"/>
    <x v="4"/>
    <n v="189.45"/>
    <x v="3"/>
    <n v="13.01"/>
  </r>
  <r>
    <x v="6"/>
    <x v="1"/>
    <n v="500001"/>
    <x v="5"/>
    <n v="170.67"/>
    <x v="3"/>
    <n v="11.67"/>
  </r>
  <r>
    <x v="6"/>
    <x v="1"/>
    <n v="411001"/>
    <x v="6"/>
    <n v="164.7"/>
    <x v="3"/>
    <n v="12.56"/>
  </r>
  <r>
    <x v="6"/>
    <x v="1"/>
    <n v="380001"/>
    <x v="7"/>
    <n v="125.02"/>
    <x v="3"/>
    <n v="10.26"/>
  </r>
  <r>
    <x v="6"/>
    <x v="1"/>
    <n v="302001"/>
    <x v="8"/>
    <n v="92.8"/>
    <x v="3"/>
    <n v="10.81"/>
  </r>
  <r>
    <x v="6"/>
    <x v="1"/>
    <n v="226001"/>
    <x v="9"/>
    <n v="79.790000000000006"/>
    <x v="3"/>
    <n v="8.81"/>
  </r>
  <r>
    <x v="6"/>
    <x v="1"/>
    <n v="800008"/>
    <x v="10"/>
    <n v="65.5"/>
    <x v="3"/>
    <n v="10.61"/>
  </r>
  <r>
    <x v="6"/>
    <x v="1"/>
    <n v="641001"/>
    <x v="11"/>
    <n v="58.03"/>
    <x v="3"/>
    <n v="8.39"/>
  </r>
  <r>
    <x v="6"/>
    <x v="1"/>
    <n v="160017"/>
    <x v="12"/>
    <n v="42.24"/>
    <x v="3"/>
    <n v="10.64"/>
  </r>
  <r>
    <x v="6"/>
    <x v="1"/>
    <n v="122001"/>
    <x v="13"/>
    <n v="32.85"/>
    <x v="3"/>
    <n v="8.19"/>
  </r>
  <r>
    <x v="6"/>
    <x v="1"/>
    <n v="492001"/>
    <x v="14"/>
    <n v="20.48"/>
    <x v="3"/>
    <n v="9.6"/>
  </r>
  <r>
    <x v="7"/>
    <x v="1"/>
    <n v="400001"/>
    <x v="0"/>
    <n v="349.97"/>
    <x v="3"/>
    <n v="12.42"/>
  </r>
  <r>
    <x v="7"/>
    <x v="1"/>
    <n v="110001"/>
    <x v="1"/>
    <n v="288.17"/>
    <x v="3"/>
    <n v="9.65"/>
  </r>
  <r>
    <x v="7"/>
    <x v="1"/>
    <n v="700001"/>
    <x v="2"/>
    <n v="268.02"/>
    <x v="3"/>
    <n v="9.35"/>
  </r>
  <r>
    <x v="7"/>
    <x v="1"/>
    <n v="560001"/>
    <x v="3"/>
    <n v="240.03"/>
    <x v="3"/>
    <n v="11.68"/>
  </r>
  <r>
    <x v="7"/>
    <x v="1"/>
    <n v="600001"/>
    <x v="4"/>
    <n v="198.83"/>
    <x v="3"/>
    <n v="9.6999999999999993"/>
  </r>
  <r>
    <x v="7"/>
    <x v="1"/>
    <n v="500001"/>
    <x v="5"/>
    <n v="179.13"/>
    <x v="3"/>
    <n v="9.24"/>
  </r>
  <r>
    <x v="7"/>
    <x v="1"/>
    <n v="411001"/>
    <x v="6"/>
    <n v="172.86"/>
    <x v="3"/>
    <n v="8.27"/>
  </r>
  <r>
    <x v="7"/>
    <x v="1"/>
    <n v="380001"/>
    <x v="7"/>
    <n v="131.21"/>
    <x v="3"/>
    <n v="11.11"/>
  </r>
  <r>
    <x v="7"/>
    <x v="1"/>
    <n v="302001"/>
    <x v="8"/>
    <n v="97.4"/>
    <x v="3"/>
    <n v="12.7"/>
  </r>
  <r>
    <x v="7"/>
    <x v="1"/>
    <n v="226001"/>
    <x v="9"/>
    <n v="83.74"/>
    <x v="3"/>
    <n v="11.49"/>
  </r>
  <r>
    <x v="7"/>
    <x v="1"/>
    <n v="800008"/>
    <x v="10"/>
    <n v="68.739999999999995"/>
    <x v="3"/>
    <n v="11.74"/>
  </r>
  <r>
    <x v="7"/>
    <x v="1"/>
    <n v="641001"/>
    <x v="11"/>
    <n v="60.9"/>
    <x v="3"/>
    <n v="11.53"/>
  </r>
  <r>
    <x v="7"/>
    <x v="1"/>
    <n v="160017"/>
    <x v="12"/>
    <n v="44.33"/>
    <x v="3"/>
    <n v="10.09"/>
  </r>
  <r>
    <x v="7"/>
    <x v="1"/>
    <n v="122001"/>
    <x v="13"/>
    <n v="34.479999999999997"/>
    <x v="3"/>
    <n v="10.73"/>
  </r>
  <r>
    <x v="7"/>
    <x v="1"/>
    <n v="492001"/>
    <x v="14"/>
    <n v="21.5"/>
    <x v="3"/>
    <n v="12.52"/>
  </r>
  <r>
    <x v="0"/>
    <x v="0"/>
    <n v="400001"/>
    <x v="0"/>
    <n v="286.29000000000002"/>
    <x v="4"/>
    <n v="7.52"/>
  </r>
  <r>
    <x v="0"/>
    <x v="0"/>
    <n v="110001"/>
    <x v="1"/>
    <n v="241.59"/>
    <x v="4"/>
    <n v="6.57"/>
  </r>
  <r>
    <x v="0"/>
    <x v="0"/>
    <n v="700001"/>
    <x v="2"/>
    <n v="222.19"/>
    <x v="4"/>
    <n v="7.93"/>
  </r>
  <r>
    <x v="0"/>
    <x v="0"/>
    <n v="560001"/>
    <x v="3"/>
    <n v="195.41"/>
    <x v="4"/>
    <n v="5.46"/>
  </r>
  <r>
    <x v="0"/>
    <x v="0"/>
    <n v="600001"/>
    <x v="4"/>
    <n v="166.78"/>
    <x v="4"/>
    <n v="7.03"/>
  </r>
  <r>
    <x v="0"/>
    <x v="0"/>
    <n v="500001"/>
    <x v="5"/>
    <n v="148.68"/>
    <x v="4"/>
    <n v="7.35"/>
  </r>
  <r>
    <x v="0"/>
    <x v="0"/>
    <n v="411001"/>
    <x v="6"/>
    <n v="141.30000000000001"/>
    <x v="4"/>
    <n v="8.4499999999999993"/>
  </r>
  <r>
    <x v="0"/>
    <x v="0"/>
    <n v="380001"/>
    <x v="7"/>
    <n v="110.08"/>
    <x v="4"/>
    <n v="6.54"/>
  </r>
  <r>
    <x v="0"/>
    <x v="0"/>
    <n v="302001"/>
    <x v="8"/>
    <n v="79.05"/>
    <x v="4"/>
    <n v="6.32"/>
  </r>
  <r>
    <x v="0"/>
    <x v="0"/>
    <n v="226001"/>
    <x v="9"/>
    <n v="67.599999999999994"/>
    <x v="4"/>
    <n v="5.35"/>
  </r>
  <r>
    <x v="0"/>
    <x v="0"/>
    <n v="800008"/>
    <x v="10"/>
    <n v="55.78"/>
    <x v="4"/>
    <n v="7.36"/>
  </r>
  <r>
    <x v="0"/>
    <x v="0"/>
    <n v="641001"/>
    <x v="11"/>
    <n v="50.24"/>
    <x v="4"/>
    <n v="9.02"/>
  </r>
  <r>
    <x v="0"/>
    <x v="0"/>
    <n v="160017"/>
    <x v="12"/>
    <n v="36.57"/>
    <x v="4"/>
    <n v="8.81"/>
  </r>
  <r>
    <x v="0"/>
    <x v="0"/>
    <n v="122001"/>
    <x v="13"/>
    <n v="27.89"/>
    <x v="4"/>
    <n v="7.97"/>
  </r>
  <r>
    <x v="0"/>
    <x v="0"/>
    <n v="492001"/>
    <x v="14"/>
    <n v="17.55"/>
    <x v="4"/>
    <n v="6.58"/>
  </r>
  <r>
    <x v="1"/>
    <x v="0"/>
    <n v="400001"/>
    <x v="0"/>
    <n v="328.6"/>
    <x v="4"/>
    <n v="5.66"/>
  </r>
  <r>
    <x v="1"/>
    <x v="0"/>
    <n v="110001"/>
    <x v="1"/>
    <n v="277.3"/>
    <x v="4"/>
    <n v="7.19"/>
  </r>
  <r>
    <x v="1"/>
    <x v="0"/>
    <n v="700001"/>
    <x v="2"/>
    <n v="255.04"/>
    <x v="4"/>
    <n v="7.72"/>
  </r>
  <r>
    <x v="1"/>
    <x v="0"/>
    <n v="560001"/>
    <x v="3"/>
    <n v="224.3"/>
    <x v="4"/>
    <n v="7.4"/>
  </r>
  <r>
    <x v="1"/>
    <x v="0"/>
    <n v="600001"/>
    <x v="4"/>
    <n v="191.44"/>
    <x v="4"/>
    <n v="7.97"/>
  </r>
  <r>
    <x v="1"/>
    <x v="0"/>
    <n v="500001"/>
    <x v="5"/>
    <n v="170.66"/>
    <x v="4"/>
    <n v="6.16"/>
  </r>
  <r>
    <x v="1"/>
    <x v="0"/>
    <n v="411001"/>
    <x v="6"/>
    <n v="162.18"/>
    <x v="4"/>
    <n v="7.47"/>
  </r>
  <r>
    <x v="1"/>
    <x v="0"/>
    <n v="380001"/>
    <x v="7"/>
    <n v="126.35"/>
    <x v="4"/>
    <n v="8.0399999999999991"/>
  </r>
  <r>
    <x v="1"/>
    <x v="0"/>
    <n v="302001"/>
    <x v="8"/>
    <n v="90.74"/>
    <x v="4"/>
    <n v="6.13"/>
  </r>
  <r>
    <x v="1"/>
    <x v="0"/>
    <n v="226001"/>
    <x v="9"/>
    <n v="77.59"/>
    <x v="4"/>
    <n v="5.55"/>
  </r>
  <r>
    <x v="1"/>
    <x v="0"/>
    <n v="800008"/>
    <x v="10"/>
    <n v="64.02"/>
    <x v="4"/>
    <n v="7.63"/>
  </r>
  <r>
    <x v="1"/>
    <x v="0"/>
    <n v="641001"/>
    <x v="11"/>
    <n v="57.66"/>
    <x v="4"/>
    <n v="7.4"/>
  </r>
  <r>
    <x v="1"/>
    <x v="0"/>
    <n v="160017"/>
    <x v="12"/>
    <n v="41.98"/>
    <x v="4"/>
    <n v="8.8800000000000008"/>
  </r>
  <r>
    <x v="1"/>
    <x v="0"/>
    <n v="122001"/>
    <x v="13"/>
    <n v="32.01"/>
    <x v="4"/>
    <n v="8.4499999999999993"/>
  </r>
  <r>
    <x v="1"/>
    <x v="0"/>
    <n v="492001"/>
    <x v="14"/>
    <n v="20.14"/>
    <x v="4"/>
    <n v="6.51"/>
  </r>
  <r>
    <x v="2"/>
    <x v="0"/>
    <n v="400001"/>
    <x v="0"/>
    <n v="305.81"/>
    <x v="4"/>
    <n v="7.24"/>
  </r>
  <r>
    <x v="2"/>
    <x v="0"/>
    <n v="110001"/>
    <x v="1"/>
    <n v="258.07"/>
    <x v="4"/>
    <n v="8.17"/>
  </r>
  <r>
    <x v="2"/>
    <x v="0"/>
    <n v="700001"/>
    <x v="2"/>
    <n v="237.35"/>
    <x v="4"/>
    <n v="7.15"/>
  </r>
  <r>
    <x v="2"/>
    <x v="0"/>
    <n v="560001"/>
    <x v="3"/>
    <n v="208.74"/>
    <x v="4"/>
    <n v="6.86"/>
  </r>
  <r>
    <x v="2"/>
    <x v="0"/>
    <n v="600001"/>
    <x v="4"/>
    <n v="178.16"/>
    <x v="4"/>
    <n v="6.13"/>
  </r>
  <r>
    <x v="2"/>
    <x v="0"/>
    <n v="500001"/>
    <x v="5"/>
    <n v="158.83000000000001"/>
    <x v="4"/>
    <n v="6.79"/>
  </r>
  <r>
    <x v="2"/>
    <x v="0"/>
    <n v="411001"/>
    <x v="6"/>
    <n v="150.93"/>
    <x v="4"/>
    <n v="7.37"/>
  </r>
  <r>
    <x v="2"/>
    <x v="0"/>
    <n v="380001"/>
    <x v="7"/>
    <n v="117.59"/>
    <x v="4"/>
    <n v="6.99"/>
  </r>
  <r>
    <x v="2"/>
    <x v="0"/>
    <n v="302001"/>
    <x v="8"/>
    <n v="84.44"/>
    <x v="4"/>
    <n v="5.46"/>
  </r>
  <r>
    <x v="2"/>
    <x v="0"/>
    <n v="226001"/>
    <x v="9"/>
    <n v="72.209999999999994"/>
    <x v="4"/>
    <n v="7.84"/>
  </r>
  <r>
    <x v="2"/>
    <x v="0"/>
    <n v="800008"/>
    <x v="10"/>
    <n v="59.58"/>
    <x v="4"/>
    <n v="6.33"/>
  </r>
  <r>
    <x v="2"/>
    <x v="0"/>
    <n v="641001"/>
    <x v="11"/>
    <n v="53.67"/>
    <x v="4"/>
    <n v="8.73"/>
  </r>
  <r>
    <x v="2"/>
    <x v="0"/>
    <n v="160017"/>
    <x v="12"/>
    <n v="39.07"/>
    <x v="4"/>
    <n v="9.15"/>
  </r>
  <r>
    <x v="2"/>
    <x v="0"/>
    <n v="122001"/>
    <x v="13"/>
    <n v="29.79"/>
    <x v="4"/>
    <n v="6.75"/>
  </r>
  <r>
    <x v="2"/>
    <x v="0"/>
    <n v="492001"/>
    <x v="14"/>
    <n v="18.739999999999998"/>
    <x v="4"/>
    <n v="7.7"/>
  </r>
  <r>
    <x v="3"/>
    <x v="0"/>
    <n v="400001"/>
    <x v="0"/>
    <n v="324.26"/>
    <x v="4"/>
    <n v="7.22"/>
  </r>
  <r>
    <x v="3"/>
    <x v="0"/>
    <n v="110001"/>
    <x v="1"/>
    <n v="273.63"/>
    <x v="4"/>
    <n v="5.86"/>
  </r>
  <r>
    <x v="3"/>
    <x v="0"/>
    <n v="700001"/>
    <x v="2"/>
    <n v="251.67"/>
    <x v="4"/>
    <n v="6.4"/>
  </r>
  <r>
    <x v="3"/>
    <x v="0"/>
    <n v="560001"/>
    <x v="3"/>
    <n v="221.33"/>
    <x v="4"/>
    <n v="7.79"/>
  </r>
  <r>
    <x v="3"/>
    <x v="0"/>
    <n v="600001"/>
    <x v="4"/>
    <n v="188.91"/>
    <x v="4"/>
    <n v="7.67"/>
  </r>
  <r>
    <x v="3"/>
    <x v="0"/>
    <n v="500001"/>
    <x v="5"/>
    <n v="168.41"/>
    <x v="4"/>
    <n v="8.82"/>
  </r>
  <r>
    <x v="3"/>
    <x v="0"/>
    <n v="411001"/>
    <x v="6"/>
    <n v="160.04"/>
    <x v="4"/>
    <n v="6.47"/>
  </r>
  <r>
    <x v="3"/>
    <x v="0"/>
    <n v="380001"/>
    <x v="7"/>
    <n v="124.68"/>
    <x v="4"/>
    <n v="6.64"/>
  </r>
  <r>
    <x v="3"/>
    <x v="0"/>
    <n v="302001"/>
    <x v="8"/>
    <n v="89.54"/>
    <x v="4"/>
    <n v="7.06"/>
  </r>
  <r>
    <x v="3"/>
    <x v="0"/>
    <n v="226001"/>
    <x v="9"/>
    <n v="76.569999999999993"/>
    <x v="4"/>
    <n v="6.33"/>
  </r>
  <r>
    <x v="3"/>
    <x v="0"/>
    <n v="800008"/>
    <x v="10"/>
    <n v="63.18"/>
    <x v="4"/>
    <n v="5.77"/>
  </r>
  <r>
    <x v="3"/>
    <x v="0"/>
    <n v="641001"/>
    <x v="11"/>
    <n v="56.9"/>
    <x v="4"/>
    <n v="7.11"/>
  </r>
  <r>
    <x v="3"/>
    <x v="0"/>
    <n v="160017"/>
    <x v="12"/>
    <n v="41.42"/>
    <x v="4"/>
    <n v="7.16"/>
  </r>
  <r>
    <x v="3"/>
    <x v="0"/>
    <n v="122001"/>
    <x v="13"/>
    <n v="31.59"/>
    <x v="4"/>
    <n v="7.16"/>
  </r>
  <r>
    <x v="3"/>
    <x v="0"/>
    <n v="492001"/>
    <x v="14"/>
    <n v="19.87"/>
    <x v="4"/>
    <n v="7.7"/>
  </r>
  <r>
    <x v="4"/>
    <x v="1"/>
    <n v="400001"/>
    <x v="0"/>
    <n v="308"/>
    <x v="4"/>
    <n v="7.62"/>
  </r>
  <r>
    <x v="4"/>
    <x v="1"/>
    <n v="110001"/>
    <x v="1"/>
    <n v="253.61"/>
    <x v="4"/>
    <n v="6.66"/>
  </r>
  <r>
    <x v="4"/>
    <x v="1"/>
    <n v="700001"/>
    <x v="2"/>
    <n v="235.88"/>
    <x v="4"/>
    <n v="8.0299999999999994"/>
  </r>
  <r>
    <x v="4"/>
    <x v="1"/>
    <n v="560001"/>
    <x v="3"/>
    <n v="211.24"/>
    <x v="4"/>
    <n v="5.54"/>
  </r>
  <r>
    <x v="4"/>
    <x v="1"/>
    <n v="600001"/>
    <x v="4"/>
    <n v="174.99"/>
    <x v="4"/>
    <n v="7.12"/>
  </r>
  <r>
    <x v="4"/>
    <x v="1"/>
    <n v="500001"/>
    <x v="5"/>
    <n v="157.63999999999999"/>
    <x v="4"/>
    <n v="7.46"/>
  </r>
  <r>
    <x v="4"/>
    <x v="1"/>
    <n v="411001"/>
    <x v="6"/>
    <n v="152.13"/>
    <x v="4"/>
    <n v="8.5399999999999991"/>
  </r>
  <r>
    <x v="4"/>
    <x v="1"/>
    <n v="380001"/>
    <x v="7"/>
    <n v="115.47"/>
    <x v="4"/>
    <n v="6.62"/>
  </r>
  <r>
    <x v="4"/>
    <x v="1"/>
    <n v="302001"/>
    <x v="8"/>
    <n v="85.72"/>
    <x v="4"/>
    <n v="6.45"/>
  </r>
  <r>
    <x v="4"/>
    <x v="1"/>
    <n v="226001"/>
    <x v="9"/>
    <n v="73.7"/>
    <x v="4"/>
    <n v="5.41"/>
  </r>
  <r>
    <x v="4"/>
    <x v="1"/>
    <n v="800008"/>
    <x v="10"/>
    <n v="60.5"/>
    <x v="4"/>
    <n v="7.48"/>
  </r>
  <r>
    <x v="4"/>
    <x v="1"/>
    <n v="641001"/>
    <x v="11"/>
    <n v="53.6"/>
    <x v="4"/>
    <n v="9.11"/>
  </r>
  <r>
    <x v="4"/>
    <x v="1"/>
    <n v="160017"/>
    <x v="12"/>
    <n v="39.020000000000003"/>
    <x v="4"/>
    <n v="8.91"/>
  </r>
  <r>
    <x v="4"/>
    <x v="1"/>
    <n v="122001"/>
    <x v="13"/>
    <n v="30.35"/>
    <x v="4"/>
    <n v="8.06"/>
  </r>
  <r>
    <x v="4"/>
    <x v="1"/>
    <n v="492001"/>
    <x v="14"/>
    <n v="18.920000000000002"/>
    <x v="4"/>
    <n v="6.69"/>
  </r>
  <r>
    <x v="5"/>
    <x v="1"/>
    <n v="400001"/>
    <x v="0"/>
    <n v="348.85"/>
    <x v="4"/>
    <n v="5.76"/>
  </r>
  <r>
    <x v="5"/>
    <x v="1"/>
    <n v="110001"/>
    <x v="1"/>
    <n v="287.25"/>
    <x v="4"/>
    <n v="7.34"/>
  </r>
  <r>
    <x v="5"/>
    <x v="1"/>
    <n v="700001"/>
    <x v="2"/>
    <n v="267.16000000000003"/>
    <x v="4"/>
    <n v="7.83"/>
  </r>
  <r>
    <x v="5"/>
    <x v="1"/>
    <n v="560001"/>
    <x v="3"/>
    <n v="239.26"/>
    <x v="4"/>
    <n v="7.56"/>
  </r>
  <r>
    <x v="5"/>
    <x v="1"/>
    <n v="600001"/>
    <x v="4"/>
    <n v="198.2"/>
    <x v="4"/>
    <n v="8.1999999999999993"/>
  </r>
  <r>
    <x v="5"/>
    <x v="1"/>
    <n v="500001"/>
    <x v="5"/>
    <n v="178.56"/>
    <x v="4"/>
    <n v="6.28"/>
  </r>
  <r>
    <x v="5"/>
    <x v="1"/>
    <n v="411001"/>
    <x v="6"/>
    <n v="172.31"/>
    <x v="4"/>
    <n v="7.6"/>
  </r>
  <r>
    <x v="5"/>
    <x v="1"/>
    <n v="380001"/>
    <x v="7"/>
    <n v="130.79"/>
    <x v="4"/>
    <n v="8.18"/>
  </r>
  <r>
    <x v="5"/>
    <x v="1"/>
    <n v="302001"/>
    <x v="8"/>
    <n v="97.09"/>
    <x v="4"/>
    <n v="6.24"/>
  </r>
  <r>
    <x v="5"/>
    <x v="1"/>
    <n v="226001"/>
    <x v="9"/>
    <n v="83.47"/>
    <x v="4"/>
    <n v="5.73"/>
  </r>
  <r>
    <x v="5"/>
    <x v="1"/>
    <n v="800008"/>
    <x v="10"/>
    <n v="68.52"/>
    <x v="4"/>
    <n v="7.77"/>
  </r>
  <r>
    <x v="5"/>
    <x v="1"/>
    <n v="641001"/>
    <x v="11"/>
    <n v="60.71"/>
    <x v="4"/>
    <n v="7.56"/>
  </r>
  <r>
    <x v="5"/>
    <x v="1"/>
    <n v="160017"/>
    <x v="12"/>
    <n v="44.19"/>
    <x v="4"/>
    <n v="9.01"/>
  </r>
  <r>
    <x v="5"/>
    <x v="1"/>
    <n v="122001"/>
    <x v="13"/>
    <n v="34.369999999999997"/>
    <x v="4"/>
    <n v="8.7200000000000006"/>
  </r>
  <r>
    <x v="5"/>
    <x v="1"/>
    <n v="492001"/>
    <x v="14"/>
    <n v="21.43"/>
    <x v="4"/>
    <n v="6.63"/>
  </r>
  <r>
    <x v="6"/>
    <x v="1"/>
    <n v="400001"/>
    <x v="0"/>
    <n v="333.45"/>
    <x v="4"/>
    <n v="7.35"/>
  </r>
  <r>
    <x v="6"/>
    <x v="1"/>
    <n v="110001"/>
    <x v="1"/>
    <n v="274.57"/>
    <x v="4"/>
    <n v="8.2899999999999991"/>
  </r>
  <r>
    <x v="6"/>
    <x v="1"/>
    <n v="700001"/>
    <x v="2"/>
    <n v="255.37"/>
    <x v="4"/>
    <n v="7.28"/>
  </r>
  <r>
    <x v="6"/>
    <x v="1"/>
    <n v="560001"/>
    <x v="3"/>
    <n v="228.7"/>
    <x v="4"/>
    <n v="6.95"/>
  </r>
  <r>
    <x v="6"/>
    <x v="1"/>
    <n v="600001"/>
    <x v="4"/>
    <n v="189.45"/>
    <x v="4"/>
    <n v="6.21"/>
  </r>
  <r>
    <x v="6"/>
    <x v="1"/>
    <n v="500001"/>
    <x v="5"/>
    <n v="170.67"/>
    <x v="4"/>
    <n v="6.87"/>
  </r>
  <r>
    <x v="6"/>
    <x v="1"/>
    <n v="411001"/>
    <x v="6"/>
    <n v="164.7"/>
    <x v="4"/>
    <n v="7.48"/>
  </r>
  <r>
    <x v="6"/>
    <x v="1"/>
    <n v="380001"/>
    <x v="7"/>
    <n v="125.02"/>
    <x v="4"/>
    <n v="7.11"/>
  </r>
  <r>
    <x v="6"/>
    <x v="1"/>
    <n v="302001"/>
    <x v="8"/>
    <n v="92.8"/>
    <x v="4"/>
    <n v="5.54"/>
  </r>
  <r>
    <x v="6"/>
    <x v="1"/>
    <n v="226001"/>
    <x v="9"/>
    <n v="79.790000000000006"/>
    <x v="4"/>
    <n v="7.94"/>
  </r>
  <r>
    <x v="6"/>
    <x v="1"/>
    <n v="800008"/>
    <x v="10"/>
    <n v="65.5"/>
    <x v="4"/>
    <n v="6.4"/>
  </r>
  <r>
    <x v="6"/>
    <x v="1"/>
    <n v="641001"/>
    <x v="11"/>
    <n v="58.03"/>
    <x v="4"/>
    <n v="8.91"/>
  </r>
  <r>
    <x v="6"/>
    <x v="1"/>
    <n v="160017"/>
    <x v="12"/>
    <n v="42.24"/>
    <x v="4"/>
    <n v="9.27"/>
  </r>
  <r>
    <x v="6"/>
    <x v="1"/>
    <n v="122001"/>
    <x v="13"/>
    <n v="32.85"/>
    <x v="4"/>
    <n v="6.84"/>
  </r>
  <r>
    <x v="6"/>
    <x v="1"/>
    <n v="492001"/>
    <x v="14"/>
    <n v="20.48"/>
    <x v="4"/>
    <n v="7.79"/>
  </r>
  <r>
    <x v="7"/>
    <x v="1"/>
    <n v="400001"/>
    <x v="0"/>
    <n v="349.97"/>
    <x v="4"/>
    <n v="7.36"/>
  </r>
  <r>
    <x v="7"/>
    <x v="1"/>
    <n v="110001"/>
    <x v="1"/>
    <n v="288.17"/>
    <x v="4"/>
    <n v="5.98"/>
  </r>
  <r>
    <x v="7"/>
    <x v="1"/>
    <n v="700001"/>
    <x v="2"/>
    <n v="268.02"/>
    <x v="4"/>
    <n v="6.52"/>
  </r>
  <r>
    <x v="7"/>
    <x v="1"/>
    <n v="560001"/>
    <x v="3"/>
    <n v="240.03"/>
    <x v="4"/>
    <n v="7.94"/>
  </r>
  <r>
    <x v="7"/>
    <x v="1"/>
    <n v="600001"/>
    <x v="4"/>
    <n v="198.83"/>
    <x v="4"/>
    <n v="7.81"/>
  </r>
  <r>
    <x v="7"/>
    <x v="1"/>
    <n v="500001"/>
    <x v="5"/>
    <n v="179.13"/>
    <x v="4"/>
    <n v="8.9600000000000009"/>
  </r>
  <r>
    <x v="7"/>
    <x v="1"/>
    <n v="411001"/>
    <x v="6"/>
    <n v="172.86"/>
    <x v="4"/>
    <n v="6.67"/>
  </r>
  <r>
    <x v="7"/>
    <x v="1"/>
    <n v="380001"/>
    <x v="7"/>
    <n v="131.21"/>
    <x v="4"/>
    <n v="6.77"/>
  </r>
  <r>
    <x v="7"/>
    <x v="1"/>
    <n v="302001"/>
    <x v="8"/>
    <n v="97.4"/>
    <x v="4"/>
    <n v="7.19"/>
  </r>
  <r>
    <x v="7"/>
    <x v="1"/>
    <n v="226001"/>
    <x v="9"/>
    <n v="83.74"/>
    <x v="4"/>
    <n v="6.44"/>
  </r>
  <r>
    <x v="7"/>
    <x v="1"/>
    <n v="800008"/>
    <x v="10"/>
    <n v="68.739999999999995"/>
    <x v="4"/>
    <n v="5.87"/>
  </r>
  <r>
    <x v="7"/>
    <x v="1"/>
    <n v="641001"/>
    <x v="11"/>
    <n v="60.9"/>
    <x v="4"/>
    <n v="7.22"/>
  </r>
  <r>
    <x v="7"/>
    <x v="1"/>
    <n v="160017"/>
    <x v="12"/>
    <n v="44.33"/>
    <x v="4"/>
    <n v="7.35"/>
  </r>
  <r>
    <x v="7"/>
    <x v="1"/>
    <n v="122001"/>
    <x v="13"/>
    <n v="34.479999999999997"/>
    <x v="4"/>
    <n v="7.3"/>
  </r>
  <r>
    <x v="7"/>
    <x v="1"/>
    <n v="492001"/>
    <x v="14"/>
    <n v="21.5"/>
    <x v="4"/>
    <n v="7.83"/>
  </r>
</pivotCacheRecords>
</file>

<file path=xl/pivotCache/pivotCacheRecords3.xml><?xml version="1.0" encoding="utf-8"?>
<pivotCacheRecords xmlns="http://schemas.openxmlformats.org/spreadsheetml/2006/main" xmlns:r="http://schemas.openxmlformats.org/officeDocument/2006/relationships" count="1200">
  <r>
    <x v="0"/>
    <x v="0"/>
    <n v="400001"/>
    <x v="0"/>
    <x v="0"/>
    <n v="6.26"/>
  </r>
  <r>
    <x v="0"/>
    <x v="0"/>
    <n v="110001"/>
    <x v="1"/>
    <x v="0"/>
    <n v="4.58"/>
  </r>
  <r>
    <x v="0"/>
    <x v="0"/>
    <n v="700001"/>
    <x v="2"/>
    <x v="0"/>
    <n v="4.29"/>
  </r>
  <r>
    <x v="0"/>
    <x v="0"/>
    <n v="560001"/>
    <x v="3"/>
    <x v="0"/>
    <n v="4.26"/>
  </r>
  <r>
    <x v="0"/>
    <x v="0"/>
    <n v="600001"/>
    <x v="4"/>
    <x v="0"/>
    <n v="3.6"/>
  </r>
  <r>
    <x v="0"/>
    <x v="0"/>
    <n v="500001"/>
    <x v="5"/>
    <x v="0"/>
    <n v="3.26"/>
  </r>
  <r>
    <x v="0"/>
    <x v="0"/>
    <n v="411001"/>
    <x v="6"/>
    <x v="0"/>
    <n v="2.27"/>
  </r>
  <r>
    <x v="0"/>
    <x v="0"/>
    <n v="380001"/>
    <x v="7"/>
    <x v="0"/>
    <n v="2.68"/>
  </r>
  <r>
    <x v="0"/>
    <x v="0"/>
    <n v="302001"/>
    <x v="8"/>
    <x v="0"/>
    <n v="2.46"/>
  </r>
  <r>
    <x v="0"/>
    <x v="0"/>
    <n v="226001"/>
    <x v="9"/>
    <x v="0"/>
    <n v="1.64"/>
  </r>
  <r>
    <x v="0"/>
    <x v="0"/>
    <n v="800008"/>
    <x v="10"/>
    <x v="0"/>
    <n v="1.8"/>
  </r>
  <r>
    <x v="0"/>
    <x v="0"/>
    <n v="641001"/>
    <x v="11"/>
    <x v="0"/>
    <n v="0.81"/>
  </r>
  <r>
    <x v="0"/>
    <x v="0"/>
    <n v="160017"/>
    <x v="12"/>
    <x v="0"/>
    <n v="0.73"/>
  </r>
  <r>
    <x v="0"/>
    <x v="0"/>
    <n v="122001"/>
    <x v="13"/>
    <x v="0"/>
    <n v="0.48"/>
  </r>
  <r>
    <x v="0"/>
    <x v="0"/>
    <n v="492001"/>
    <x v="14"/>
    <x v="0"/>
    <n v="0.49"/>
  </r>
  <r>
    <x v="1"/>
    <x v="0"/>
    <n v="400001"/>
    <x v="0"/>
    <x v="0"/>
    <n v="7.86"/>
  </r>
  <r>
    <x v="1"/>
    <x v="0"/>
    <n v="110001"/>
    <x v="1"/>
    <x v="0"/>
    <n v="5.43"/>
  </r>
  <r>
    <x v="1"/>
    <x v="0"/>
    <n v="700001"/>
    <x v="2"/>
    <x v="0"/>
    <n v="5.36"/>
  </r>
  <r>
    <x v="1"/>
    <x v="0"/>
    <n v="560001"/>
    <x v="3"/>
    <x v="0"/>
    <n v="5.47"/>
  </r>
  <r>
    <x v="1"/>
    <x v="0"/>
    <n v="600001"/>
    <x v="4"/>
    <x v="0"/>
    <n v="7.02"/>
  </r>
  <r>
    <x v="1"/>
    <x v="0"/>
    <n v="500001"/>
    <x v="5"/>
    <x v="0"/>
    <n v="4.16"/>
  </r>
  <r>
    <x v="1"/>
    <x v="0"/>
    <n v="411001"/>
    <x v="6"/>
    <x v="0"/>
    <n v="3.44"/>
  </r>
  <r>
    <x v="1"/>
    <x v="0"/>
    <n v="380001"/>
    <x v="7"/>
    <x v="0"/>
    <n v="2.2200000000000002"/>
  </r>
  <r>
    <x v="1"/>
    <x v="0"/>
    <n v="302001"/>
    <x v="8"/>
    <x v="0"/>
    <n v="1.51"/>
  </r>
  <r>
    <x v="1"/>
    <x v="0"/>
    <n v="226001"/>
    <x v="9"/>
    <x v="0"/>
    <n v="3.17"/>
  </r>
  <r>
    <x v="1"/>
    <x v="0"/>
    <n v="800008"/>
    <x v="10"/>
    <x v="0"/>
    <n v="1.4"/>
  </r>
  <r>
    <x v="1"/>
    <x v="0"/>
    <n v="641001"/>
    <x v="11"/>
    <x v="0"/>
    <n v="1.33"/>
  </r>
  <r>
    <x v="1"/>
    <x v="0"/>
    <n v="160017"/>
    <x v="12"/>
    <x v="0"/>
    <n v="0.54"/>
  </r>
  <r>
    <x v="1"/>
    <x v="0"/>
    <n v="122001"/>
    <x v="13"/>
    <x v="0"/>
    <n v="0.9"/>
  </r>
  <r>
    <x v="1"/>
    <x v="0"/>
    <n v="492001"/>
    <x v="14"/>
    <x v="0"/>
    <n v="0.47"/>
  </r>
  <r>
    <x v="2"/>
    <x v="0"/>
    <n v="400001"/>
    <x v="0"/>
    <x v="0"/>
    <n v="5.66"/>
  </r>
  <r>
    <x v="2"/>
    <x v="0"/>
    <n v="110001"/>
    <x v="1"/>
    <x v="0"/>
    <n v="5.84"/>
  </r>
  <r>
    <x v="2"/>
    <x v="0"/>
    <n v="700001"/>
    <x v="2"/>
    <x v="0"/>
    <n v="7.54"/>
  </r>
  <r>
    <x v="2"/>
    <x v="0"/>
    <n v="560001"/>
    <x v="3"/>
    <x v="0"/>
    <n v="4.97"/>
  </r>
  <r>
    <x v="2"/>
    <x v="0"/>
    <n v="600001"/>
    <x v="4"/>
    <x v="0"/>
    <n v="3.33"/>
  </r>
  <r>
    <x v="2"/>
    <x v="0"/>
    <n v="500001"/>
    <x v="5"/>
    <x v="0"/>
    <n v="3.37"/>
  </r>
  <r>
    <x v="2"/>
    <x v="0"/>
    <n v="411001"/>
    <x v="6"/>
    <x v="0"/>
    <n v="4.18"/>
  </r>
  <r>
    <x v="2"/>
    <x v="0"/>
    <n v="380001"/>
    <x v="7"/>
    <x v="0"/>
    <n v="2.99"/>
  </r>
  <r>
    <x v="2"/>
    <x v="0"/>
    <n v="302001"/>
    <x v="8"/>
    <x v="0"/>
    <n v="1.88"/>
  </r>
  <r>
    <x v="2"/>
    <x v="0"/>
    <n v="226001"/>
    <x v="9"/>
    <x v="0"/>
    <n v="1.8"/>
  </r>
  <r>
    <x v="2"/>
    <x v="0"/>
    <n v="800008"/>
    <x v="10"/>
    <x v="0"/>
    <n v="1.06"/>
  </r>
  <r>
    <x v="2"/>
    <x v="0"/>
    <n v="641001"/>
    <x v="11"/>
    <x v="0"/>
    <n v="1.96"/>
  </r>
  <r>
    <x v="2"/>
    <x v="0"/>
    <n v="160017"/>
    <x v="12"/>
    <x v="0"/>
    <n v="0.94"/>
  </r>
  <r>
    <x v="2"/>
    <x v="0"/>
    <n v="122001"/>
    <x v="13"/>
    <x v="0"/>
    <n v="0.66"/>
  </r>
  <r>
    <x v="2"/>
    <x v="0"/>
    <n v="492001"/>
    <x v="14"/>
    <x v="0"/>
    <n v="0.38"/>
  </r>
  <r>
    <x v="3"/>
    <x v="0"/>
    <n v="400001"/>
    <x v="0"/>
    <x v="0"/>
    <n v="5.6"/>
  </r>
  <r>
    <x v="3"/>
    <x v="0"/>
    <n v="110001"/>
    <x v="1"/>
    <x v="0"/>
    <n v="4.66"/>
  </r>
  <r>
    <x v="3"/>
    <x v="0"/>
    <n v="700001"/>
    <x v="2"/>
    <x v="0"/>
    <n v="4.51"/>
  </r>
  <r>
    <x v="3"/>
    <x v="0"/>
    <n v="560001"/>
    <x v="3"/>
    <x v="0"/>
    <n v="5.13"/>
  </r>
  <r>
    <x v="3"/>
    <x v="0"/>
    <n v="600001"/>
    <x v="4"/>
    <x v="0"/>
    <n v="4.53"/>
  </r>
  <r>
    <x v="3"/>
    <x v="0"/>
    <n v="500001"/>
    <x v="5"/>
    <x v="0"/>
    <n v="3.01"/>
  </r>
  <r>
    <x v="3"/>
    <x v="0"/>
    <n v="411001"/>
    <x v="6"/>
    <x v="0"/>
    <n v="5.52"/>
  </r>
  <r>
    <x v="3"/>
    <x v="0"/>
    <n v="380001"/>
    <x v="7"/>
    <x v="0"/>
    <n v="3.45"/>
  </r>
  <r>
    <x v="3"/>
    <x v="0"/>
    <n v="302001"/>
    <x v="8"/>
    <x v="0"/>
    <n v="1.83"/>
  </r>
  <r>
    <x v="3"/>
    <x v="0"/>
    <n v="226001"/>
    <x v="9"/>
    <x v="0"/>
    <n v="1.7"/>
  </r>
  <r>
    <x v="3"/>
    <x v="0"/>
    <n v="800008"/>
    <x v="10"/>
    <x v="0"/>
    <n v="1.48"/>
  </r>
  <r>
    <x v="3"/>
    <x v="0"/>
    <n v="641001"/>
    <x v="11"/>
    <x v="0"/>
    <n v="1.08"/>
  </r>
  <r>
    <x v="3"/>
    <x v="0"/>
    <n v="160017"/>
    <x v="12"/>
    <x v="0"/>
    <n v="1.22"/>
  </r>
  <r>
    <x v="3"/>
    <x v="0"/>
    <n v="122001"/>
    <x v="13"/>
    <x v="0"/>
    <n v="0.64"/>
  </r>
  <r>
    <x v="3"/>
    <x v="0"/>
    <n v="492001"/>
    <x v="14"/>
    <x v="0"/>
    <n v="0.46"/>
  </r>
  <r>
    <x v="4"/>
    <x v="1"/>
    <n v="400001"/>
    <x v="0"/>
    <x v="0"/>
    <n v="9.83"/>
  </r>
  <r>
    <x v="4"/>
    <x v="1"/>
    <n v="110001"/>
    <x v="1"/>
    <x v="0"/>
    <n v="6.18"/>
  </r>
  <r>
    <x v="4"/>
    <x v="1"/>
    <n v="700001"/>
    <x v="2"/>
    <x v="0"/>
    <n v="5.64"/>
  </r>
  <r>
    <x v="4"/>
    <x v="1"/>
    <n v="560001"/>
    <x v="3"/>
    <x v="0"/>
    <n v="5.94"/>
  </r>
  <r>
    <x v="4"/>
    <x v="1"/>
    <n v="600001"/>
    <x v="4"/>
    <x v="0"/>
    <n v="4.63"/>
  </r>
  <r>
    <x v="4"/>
    <x v="1"/>
    <n v="500001"/>
    <x v="5"/>
    <x v="0"/>
    <n v="4.07"/>
  </r>
  <r>
    <x v="4"/>
    <x v="1"/>
    <n v="411001"/>
    <x v="6"/>
    <x v="0"/>
    <n v="3.51"/>
  </r>
  <r>
    <x v="4"/>
    <x v="1"/>
    <n v="380001"/>
    <x v="7"/>
    <x v="0"/>
    <n v="3.07"/>
  </r>
  <r>
    <x v="4"/>
    <x v="1"/>
    <n v="302001"/>
    <x v="8"/>
    <x v="0"/>
    <n v="2.93"/>
  </r>
  <r>
    <x v="4"/>
    <x v="1"/>
    <n v="226001"/>
    <x v="9"/>
    <x v="0"/>
    <n v="1.78"/>
  </r>
  <r>
    <x v="4"/>
    <x v="1"/>
    <n v="800008"/>
    <x v="10"/>
    <x v="0"/>
    <n v="2.61"/>
  </r>
  <r>
    <x v="4"/>
    <x v="1"/>
    <n v="641001"/>
    <x v="11"/>
    <x v="0"/>
    <n v="1.05"/>
  </r>
  <r>
    <x v="4"/>
    <x v="1"/>
    <n v="160017"/>
    <x v="12"/>
    <x v="0"/>
    <n v="0.94"/>
  </r>
  <r>
    <x v="4"/>
    <x v="1"/>
    <n v="122001"/>
    <x v="13"/>
    <x v="0"/>
    <n v="0.73"/>
  </r>
  <r>
    <x v="4"/>
    <x v="1"/>
    <n v="492001"/>
    <x v="14"/>
    <x v="0"/>
    <n v="0.67"/>
  </r>
  <r>
    <x v="5"/>
    <x v="1"/>
    <n v="400001"/>
    <x v="0"/>
    <x v="0"/>
    <n v="8.7100000000000009"/>
  </r>
  <r>
    <x v="5"/>
    <x v="1"/>
    <n v="110001"/>
    <x v="1"/>
    <x v="0"/>
    <n v="8.32"/>
  </r>
  <r>
    <x v="5"/>
    <x v="1"/>
    <n v="700001"/>
    <x v="2"/>
    <x v="0"/>
    <n v="5.59"/>
  </r>
  <r>
    <x v="5"/>
    <x v="1"/>
    <n v="560001"/>
    <x v="3"/>
    <x v="0"/>
    <n v="6.83"/>
  </r>
  <r>
    <x v="5"/>
    <x v="1"/>
    <n v="600001"/>
    <x v="4"/>
    <x v="0"/>
    <n v="9.07"/>
  </r>
  <r>
    <x v="5"/>
    <x v="1"/>
    <n v="500001"/>
    <x v="5"/>
    <x v="0"/>
    <n v="5.83"/>
  </r>
  <r>
    <x v="5"/>
    <x v="1"/>
    <n v="411001"/>
    <x v="6"/>
    <x v="0"/>
    <n v="3.66"/>
  </r>
  <r>
    <x v="5"/>
    <x v="1"/>
    <n v="380001"/>
    <x v="7"/>
    <x v="0"/>
    <n v="2.86"/>
  </r>
  <r>
    <x v="5"/>
    <x v="1"/>
    <n v="302001"/>
    <x v="8"/>
    <x v="0"/>
    <n v="2.2599999999999998"/>
  </r>
  <r>
    <x v="5"/>
    <x v="1"/>
    <n v="226001"/>
    <x v="9"/>
    <x v="0"/>
    <n v="3.37"/>
  </r>
  <r>
    <x v="5"/>
    <x v="1"/>
    <n v="800008"/>
    <x v="10"/>
    <x v="0"/>
    <n v="1.52"/>
  </r>
  <r>
    <x v="5"/>
    <x v="1"/>
    <n v="641001"/>
    <x v="11"/>
    <x v="0"/>
    <n v="1.68"/>
  </r>
  <r>
    <x v="5"/>
    <x v="1"/>
    <n v="160017"/>
    <x v="12"/>
    <x v="0"/>
    <n v="0.92"/>
  </r>
  <r>
    <x v="5"/>
    <x v="1"/>
    <n v="122001"/>
    <x v="13"/>
    <x v="0"/>
    <n v="1.47"/>
  </r>
  <r>
    <x v="5"/>
    <x v="1"/>
    <n v="492001"/>
    <x v="14"/>
    <x v="0"/>
    <n v="0.7"/>
  </r>
  <r>
    <x v="6"/>
    <x v="1"/>
    <n v="400001"/>
    <x v="0"/>
    <x v="0"/>
    <n v="7.68"/>
  </r>
  <r>
    <x v="6"/>
    <x v="1"/>
    <n v="110001"/>
    <x v="1"/>
    <x v="0"/>
    <n v="7.48"/>
  </r>
  <r>
    <x v="6"/>
    <x v="1"/>
    <n v="700001"/>
    <x v="2"/>
    <x v="0"/>
    <n v="11.46"/>
  </r>
  <r>
    <x v="6"/>
    <x v="1"/>
    <n v="560001"/>
    <x v="3"/>
    <x v="0"/>
    <n v="5.99"/>
  </r>
  <r>
    <x v="6"/>
    <x v="1"/>
    <n v="600001"/>
    <x v="4"/>
    <x v="0"/>
    <n v="4.3499999999999996"/>
  </r>
  <r>
    <x v="6"/>
    <x v="1"/>
    <n v="500001"/>
    <x v="5"/>
    <x v="0"/>
    <n v="4.09"/>
  </r>
  <r>
    <x v="6"/>
    <x v="1"/>
    <n v="411001"/>
    <x v="6"/>
    <x v="0"/>
    <n v="4.74"/>
  </r>
  <r>
    <x v="6"/>
    <x v="1"/>
    <n v="380001"/>
    <x v="7"/>
    <x v="0"/>
    <n v="4.54"/>
  </r>
  <r>
    <x v="6"/>
    <x v="1"/>
    <n v="302001"/>
    <x v="8"/>
    <x v="0"/>
    <n v="2.65"/>
  </r>
  <r>
    <x v="6"/>
    <x v="1"/>
    <n v="226001"/>
    <x v="9"/>
    <x v="0"/>
    <n v="2.2999999999999998"/>
  </r>
  <r>
    <x v="6"/>
    <x v="1"/>
    <n v="800008"/>
    <x v="10"/>
    <x v="0"/>
    <n v="1.71"/>
  </r>
  <r>
    <x v="6"/>
    <x v="1"/>
    <n v="641001"/>
    <x v="11"/>
    <x v="0"/>
    <n v="2.44"/>
  </r>
  <r>
    <x v="6"/>
    <x v="1"/>
    <n v="160017"/>
    <x v="12"/>
    <x v="0"/>
    <n v="1.18"/>
  </r>
  <r>
    <x v="6"/>
    <x v="1"/>
    <n v="122001"/>
    <x v="13"/>
    <x v="0"/>
    <n v="0.87"/>
  </r>
  <r>
    <x v="6"/>
    <x v="1"/>
    <n v="492001"/>
    <x v="14"/>
    <x v="0"/>
    <n v="0.54"/>
  </r>
  <r>
    <x v="7"/>
    <x v="1"/>
    <n v="400001"/>
    <x v="0"/>
    <x v="0"/>
    <n v="9.5"/>
  </r>
  <r>
    <x v="7"/>
    <x v="1"/>
    <n v="110001"/>
    <x v="1"/>
    <x v="0"/>
    <n v="7.5"/>
  </r>
  <r>
    <x v="7"/>
    <x v="1"/>
    <n v="700001"/>
    <x v="2"/>
    <x v="0"/>
    <n v="6.92"/>
  </r>
  <r>
    <x v="7"/>
    <x v="1"/>
    <n v="560001"/>
    <x v="3"/>
    <x v="0"/>
    <n v="5.62"/>
  </r>
  <r>
    <x v="7"/>
    <x v="1"/>
    <n v="600001"/>
    <x v="4"/>
    <x v="0"/>
    <n v="4.6399999999999997"/>
  </r>
  <r>
    <x v="7"/>
    <x v="1"/>
    <n v="500001"/>
    <x v="5"/>
    <x v="0"/>
    <n v="4.0199999999999996"/>
  </r>
  <r>
    <x v="7"/>
    <x v="1"/>
    <n v="411001"/>
    <x v="6"/>
    <x v="0"/>
    <n v="7.42"/>
  </r>
  <r>
    <x v="7"/>
    <x v="1"/>
    <n v="380001"/>
    <x v="7"/>
    <x v="0"/>
    <n v="3.73"/>
  </r>
  <r>
    <x v="7"/>
    <x v="1"/>
    <n v="302001"/>
    <x v="8"/>
    <x v="0"/>
    <n v="2.31"/>
  </r>
  <r>
    <x v="7"/>
    <x v="1"/>
    <n v="226001"/>
    <x v="9"/>
    <x v="0"/>
    <n v="2.23"/>
  </r>
  <r>
    <x v="7"/>
    <x v="1"/>
    <n v="800008"/>
    <x v="10"/>
    <x v="0"/>
    <n v="2.04"/>
  </r>
  <r>
    <x v="7"/>
    <x v="1"/>
    <n v="641001"/>
    <x v="11"/>
    <x v="0"/>
    <n v="1.35"/>
  </r>
  <r>
    <x v="7"/>
    <x v="1"/>
    <n v="160017"/>
    <x v="12"/>
    <x v="0"/>
    <n v="1.43"/>
  </r>
  <r>
    <x v="7"/>
    <x v="1"/>
    <n v="122001"/>
    <x v="13"/>
    <x v="0"/>
    <n v="1.02"/>
  </r>
  <r>
    <x v="7"/>
    <x v="1"/>
    <n v="492001"/>
    <x v="14"/>
    <x v="0"/>
    <n v="0.54"/>
  </r>
  <r>
    <x v="0"/>
    <x v="0"/>
    <n v="400001"/>
    <x v="0"/>
    <x v="1"/>
    <n v="4.87"/>
  </r>
  <r>
    <x v="0"/>
    <x v="0"/>
    <n v="110001"/>
    <x v="1"/>
    <x v="1"/>
    <n v="4.01"/>
  </r>
  <r>
    <x v="0"/>
    <x v="0"/>
    <n v="700001"/>
    <x v="2"/>
    <x v="1"/>
    <n v="4.01"/>
  </r>
  <r>
    <x v="0"/>
    <x v="0"/>
    <n v="560001"/>
    <x v="3"/>
    <x v="1"/>
    <n v="3.76"/>
  </r>
  <r>
    <x v="0"/>
    <x v="0"/>
    <n v="600001"/>
    <x v="4"/>
    <x v="1"/>
    <n v="2.82"/>
  </r>
  <r>
    <x v="0"/>
    <x v="0"/>
    <n v="500001"/>
    <x v="5"/>
    <x v="1"/>
    <n v="2.42"/>
  </r>
  <r>
    <x v="0"/>
    <x v="0"/>
    <n v="411001"/>
    <x v="6"/>
    <x v="1"/>
    <n v="2.0499999999999998"/>
  </r>
  <r>
    <x v="0"/>
    <x v="0"/>
    <n v="380001"/>
    <x v="7"/>
    <x v="1"/>
    <n v="1.92"/>
  </r>
  <r>
    <x v="0"/>
    <x v="0"/>
    <n v="302001"/>
    <x v="8"/>
    <x v="1"/>
    <n v="1.98"/>
  </r>
  <r>
    <x v="0"/>
    <x v="0"/>
    <n v="226001"/>
    <x v="9"/>
    <x v="1"/>
    <n v="1.22"/>
  </r>
  <r>
    <x v="0"/>
    <x v="0"/>
    <n v="800008"/>
    <x v="10"/>
    <x v="1"/>
    <n v="1.53"/>
  </r>
  <r>
    <x v="0"/>
    <x v="0"/>
    <n v="641001"/>
    <x v="11"/>
    <x v="1"/>
    <n v="0.57999999999999996"/>
  </r>
  <r>
    <x v="0"/>
    <x v="0"/>
    <n v="160017"/>
    <x v="12"/>
    <x v="1"/>
    <n v="0.61"/>
  </r>
  <r>
    <x v="0"/>
    <x v="0"/>
    <n v="122001"/>
    <x v="13"/>
    <x v="1"/>
    <n v="0.42"/>
  </r>
  <r>
    <x v="0"/>
    <x v="0"/>
    <n v="492001"/>
    <x v="14"/>
    <x v="1"/>
    <n v="0.35"/>
  </r>
  <r>
    <x v="1"/>
    <x v="0"/>
    <n v="400001"/>
    <x v="0"/>
    <x v="1"/>
    <n v="5.64"/>
  </r>
  <r>
    <x v="1"/>
    <x v="0"/>
    <n v="110001"/>
    <x v="1"/>
    <x v="1"/>
    <n v="4.7699999999999996"/>
  </r>
  <r>
    <x v="1"/>
    <x v="0"/>
    <n v="700001"/>
    <x v="2"/>
    <x v="1"/>
    <n v="4.59"/>
  </r>
  <r>
    <x v="1"/>
    <x v="0"/>
    <n v="560001"/>
    <x v="3"/>
    <x v="1"/>
    <n v="4.7699999999999996"/>
  </r>
  <r>
    <x v="1"/>
    <x v="0"/>
    <n v="600001"/>
    <x v="4"/>
    <x v="1"/>
    <n v="5.95"/>
  </r>
  <r>
    <x v="1"/>
    <x v="0"/>
    <n v="500001"/>
    <x v="5"/>
    <x v="1"/>
    <n v="3.12"/>
  </r>
  <r>
    <x v="1"/>
    <x v="0"/>
    <n v="411001"/>
    <x v="6"/>
    <x v="1"/>
    <n v="2.66"/>
  </r>
  <r>
    <x v="1"/>
    <x v="0"/>
    <n v="380001"/>
    <x v="7"/>
    <x v="1"/>
    <n v="1.62"/>
  </r>
  <r>
    <x v="1"/>
    <x v="0"/>
    <n v="302001"/>
    <x v="8"/>
    <x v="1"/>
    <n v="1.21"/>
  </r>
  <r>
    <x v="1"/>
    <x v="0"/>
    <n v="226001"/>
    <x v="9"/>
    <x v="1"/>
    <n v="2.8"/>
  </r>
  <r>
    <x v="1"/>
    <x v="0"/>
    <n v="800008"/>
    <x v="10"/>
    <x v="1"/>
    <n v="1.06"/>
  </r>
  <r>
    <x v="1"/>
    <x v="0"/>
    <n v="641001"/>
    <x v="11"/>
    <x v="1"/>
    <n v="1.03"/>
  </r>
  <r>
    <x v="1"/>
    <x v="0"/>
    <n v="160017"/>
    <x v="12"/>
    <x v="1"/>
    <n v="0.51"/>
  </r>
  <r>
    <x v="1"/>
    <x v="0"/>
    <n v="122001"/>
    <x v="13"/>
    <x v="1"/>
    <n v="0.79"/>
  </r>
  <r>
    <x v="1"/>
    <x v="0"/>
    <n v="492001"/>
    <x v="14"/>
    <x v="1"/>
    <n v="0.4"/>
  </r>
  <r>
    <x v="2"/>
    <x v="0"/>
    <n v="400001"/>
    <x v="0"/>
    <x v="1"/>
    <n v="4.93"/>
  </r>
  <r>
    <x v="2"/>
    <x v="0"/>
    <n v="110001"/>
    <x v="1"/>
    <x v="1"/>
    <n v="4.38"/>
  </r>
  <r>
    <x v="2"/>
    <x v="0"/>
    <n v="700001"/>
    <x v="2"/>
    <x v="1"/>
    <n v="6.21"/>
  </r>
  <r>
    <x v="2"/>
    <x v="0"/>
    <n v="560001"/>
    <x v="3"/>
    <x v="1"/>
    <n v="4.51"/>
  </r>
  <r>
    <x v="2"/>
    <x v="0"/>
    <n v="600001"/>
    <x v="4"/>
    <x v="1"/>
    <n v="2.5"/>
  </r>
  <r>
    <x v="2"/>
    <x v="0"/>
    <n v="500001"/>
    <x v="5"/>
    <x v="1"/>
    <n v="2.7"/>
  </r>
  <r>
    <x v="2"/>
    <x v="0"/>
    <n v="411001"/>
    <x v="6"/>
    <x v="1"/>
    <n v="3.19"/>
  </r>
  <r>
    <x v="2"/>
    <x v="0"/>
    <n v="380001"/>
    <x v="7"/>
    <x v="1"/>
    <n v="2.89"/>
  </r>
  <r>
    <x v="2"/>
    <x v="0"/>
    <n v="302001"/>
    <x v="8"/>
    <x v="1"/>
    <n v="1.52"/>
  </r>
  <r>
    <x v="2"/>
    <x v="0"/>
    <n v="226001"/>
    <x v="9"/>
    <x v="1"/>
    <n v="1.42"/>
  </r>
  <r>
    <x v="2"/>
    <x v="0"/>
    <n v="800008"/>
    <x v="10"/>
    <x v="1"/>
    <n v="0.91"/>
  </r>
  <r>
    <x v="2"/>
    <x v="0"/>
    <n v="641001"/>
    <x v="11"/>
    <x v="1"/>
    <n v="1.72"/>
  </r>
  <r>
    <x v="2"/>
    <x v="0"/>
    <n v="160017"/>
    <x v="12"/>
    <x v="1"/>
    <n v="0.85"/>
  </r>
  <r>
    <x v="2"/>
    <x v="0"/>
    <n v="122001"/>
    <x v="13"/>
    <x v="1"/>
    <n v="0.5"/>
  </r>
  <r>
    <x v="2"/>
    <x v="0"/>
    <n v="492001"/>
    <x v="14"/>
    <x v="1"/>
    <n v="0.33"/>
  </r>
  <r>
    <x v="3"/>
    <x v="0"/>
    <n v="400001"/>
    <x v="0"/>
    <x v="1"/>
    <n v="5.09"/>
  </r>
  <r>
    <x v="3"/>
    <x v="0"/>
    <n v="110001"/>
    <x v="1"/>
    <x v="1"/>
    <n v="3.83"/>
  </r>
  <r>
    <x v="3"/>
    <x v="0"/>
    <n v="700001"/>
    <x v="2"/>
    <x v="1"/>
    <n v="4.3600000000000003"/>
  </r>
  <r>
    <x v="3"/>
    <x v="0"/>
    <n v="560001"/>
    <x v="3"/>
    <x v="1"/>
    <n v="4.22"/>
  </r>
  <r>
    <x v="3"/>
    <x v="0"/>
    <n v="600001"/>
    <x v="4"/>
    <x v="1"/>
    <n v="3.31"/>
  </r>
  <r>
    <x v="3"/>
    <x v="0"/>
    <n v="500001"/>
    <x v="5"/>
    <x v="1"/>
    <n v="2.2200000000000002"/>
  </r>
  <r>
    <x v="3"/>
    <x v="0"/>
    <n v="411001"/>
    <x v="6"/>
    <x v="1"/>
    <n v="4.71"/>
  </r>
  <r>
    <x v="3"/>
    <x v="0"/>
    <n v="380001"/>
    <x v="7"/>
    <x v="1"/>
    <n v="2.56"/>
  </r>
  <r>
    <x v="3"/>
    <x v="0"/>
    <n v="302001"/>
    <x v="8"/>
    <x v="1"/>
    <n v="1.36"/>
  </r>
  <r>
    <x v="3"/>
    <x v="0"/>
    <n v="226001"/>
    <x v="9"/>
    <x v="1"/>
    <n v="1.25"/>
  </r>
  <r>
    <x v="3"/>
    <x v="0"/>
    <n v="800008"/>
    <x v="10"/>
    <x v="1"/>
    <n v="1.05"/>
  </r>
  <r>
    <x v="3"/>
    <x v="0"/>
    <n v="641001"/>
    <x v="11"/>
    <x v="1"/>
    <n v="0.92"/>
  </r>
  <r>
    <x v="3"/>
    <x v="0"/>
    <n v="160017"/>
    <x v="12"/>
    <x v="1"/>
    <n v="1.01"/>
  </r>
  <r>
    <x v="3"/>
    <x v="0"/>
    <n v="122001"/>
    <x v="13"/>
    <x v="1"/>
    <n v="0.52"/>
  </r>
  <r>
    <x v="3"/>
    <x v="0"/>
    <n v="492001"/>
    <x v="14"/>
    <x v="1"/>
    <n v="0.36"/>
  </r>
  <r>
    <x v="4"/>
    <x v="1"/>
    <n v="400001"/>
    <x v="0"/>
    <x v="1"/>
    <n v="6.47"/>
  </r>
  <r>
    <x v="4"/>
    <x v="1"/>
    <n v="110001"/>
    <x v="1"/>
    <x v="1"/>
    <n v="3.68"/>
  </r>
  <r>
    <x v="4"/>
    <x v="1"/>
    <n v="700001"/>
    <x v="2"/>
    <x v="1"/>
    <n v="3.09"/>
  </r>
  <r>
    <x v="4"/>
    <x v="1"/>
    <n v="560001"/>
    <x v="3"/>
    <x v="1"/>
    <n v="4.0199999999999996"/>
  </r>
  <r>
    <x v="4"/>
    <x v="1"/>
    <n v="600001"/>
    <x v="4"/>
    <x v="1"/>
    <n v="2.91"/>
  </r>
  <r>
    <x v="4"/>
    <x v="1"/>
    <n v="500001"/>
    <x v="5"/>
    <x v="1"/>
    <n v="2.64"/>
  </r>
  <r>
    <x v="4"/>
    <x v="1"/>
    <n v="411001"/>
    <x v="6"/>
    <x v="1"/>
    <n v="2.16"/>
  </r>
  <r>
    <x v="4"/>
    <x v="1"/>
    <n v="380001"/>
    <x v="7"/>
    <x v="1"/>
    <n v="2.1"/>
  </r>
  <r>
    <x v="4"/>
    <x v="1"/>
    <n v="302001"/>
    <x v="8"/>
    <x v="1"/>
    <n v="2.12"/>
  </r>
  <r>
    <x v="4"/>
    <x v="1"/>
    <n v="226001"/>
    <x v="9"/>
    <x v="1"/>
    <n v="0.99"/>
  </r>
  <r>
    <x v="4"/>
    <x v="1"/>
    <n v="800008"/>
    <x v="10"/>
    <x v="1"/>
    <n v="1.57"/>
  </r>
  <r>
    <x v="4"/>
    <x v="1"/>
    <n v="641001"/>
    <x v="11"/>
    <x v="1"/>
    <n v="0.72"/>
  </r>
  <r>
    <x v="4"/>
    <x v="1"/>
    <n v="160017"/>
    <x v="12"/>
    <x v="1"/>
    <n v="0.64"/>
  </r>
  <r>
    <x v="4"/>
    <x v="1"/>
    <n v="122001"/>
    <x v="13"/>
    <x v="1"/>
    <n v="0.47"/>
  </r>
  <r>
    <x v="4"/>
    <x v="1"/>
    <n v="492001"/>
    <x v="14"/>
    <x v="1"/>
    <n v="0.41"/>
  </r>
  <r>
    <x v="5"/>
    <x v="1"/>
    <n v="400001"/>
    <x v="0"/>
    <x v="1"/>
    <n v="5.81"/>
  </r>
  <r>
    <x v="5"/>
    <x v="1"/>
    <n v="110001"/>
    <x v="1"/>
    <x v="1"/>
    <n v="4.79"/>
  </r>
  <r>
    <x v="5"/>
    <x v="1"/>
    <n v="700001"/>
    <x v="2"/>
    <x v="1"/>
    <n v="3.41"/>
  </r>
  <r>
    <x v="5"/>
    <x v="1"/>
    <n v="560001"/>
    <x v="3"/>
    <x v="1"/>
    <n v="4.3899999999999997"/>
  </r>
  <r>
    <x v="5"/>
    <x v="1"/>
    <n v="600001"/>
    <x v="4"/>
    <x v="1"/>
    <n v="5.09"/>
  </r>
  <r>
    <x v="5"/>
    <x v="1"/>
    <n v="500001"/>
    <x v="5"/>
    <x v="1"/>
    <n v="3.12"/>
  </r>
  <r>
    <x v="5"/>
    <x v="1"/>
    <n v="411001"/>
    <x v="6"/>
    <x v="1"/>
    <n v="2.44"/>
  </r>
  <r>
    <x v="5"/>
    <x v="1"/>
    <n v="380001"/>
    <x v="7"/>
    <x v="1"/>
    <n v="2.06"/>
  </r>
  <r>
    <x v="5"/>
    <x v="1"/>
    <n v="302001"/>
    <x v="8"/>
    <x v="1"/>
    <n v="1.38"/>
  </r>
  <r>
    <x v="5"/>
    <x v="1"/>
    <n v="226001"/>
    <x v="9"/>
    <x v="1"/>
    <n v="2.2799999999999998"/>
  </r>
  <r>
    <x v="5"/>
    <x v="1"/>
    <n v="800008"/>
    <x v="10"/>
    <x v="1"/>
    <n v="0.92"/>
  </r>
  <r>
    <x v="5"/>
    <x v="1"/>
    <n v="641001"/>
    <x v="11"/>
    <x v="1"/>
    <n v="1.1200000000000001"/>
  </r>
  <r>
    <x v="5"/>
    <x v="1"/>
    <n v="160017"/>
    <x v="12"/>
    <x v="1"/>
    <n v="0.56000000000000005"/>
  </r>
  <r>
    <x v="5"/>
    <x v="1"/>
    <n v="122001"/>
    <x v="13"/>
    <x v="1"/>
    <n v="0.96"/>
  </r>
  <r>
    <x v="5"/>
    <x v="1"/>
    <n v="492001"/>
    <x v="14"/>
    <x v="1"/>
    <n v="0.46"/>
  </r>
  <r>
    <x v="6"/>
    <x v="1"/>
    <n v="400001"/>
    <x v="0"/>
    <x v="1"/>
    <n v="5.26"/>
  </r>
  <r>
    <x v="6"/>
    <x v="1"/>
    <n v="110001"/>
    <x v="1"/>
    <x v="1"/>
    <n v="4.49"/>
  </r>
  <r>
    <x v="6"/>
    <x v="1"/>
    <n v="700001"/>
    <x v="2"/>
    <x v="1"/>
    <n v="6.82"/>
  </r>
  <r>
    <x v="6"/>
    <x v="1"/>
    <n v="560001"/>
    <x v="3"/>
    <x v="1"/>
    <n v="4.16"/>
  </r>
  <r>
    <x v="6"/>
    <x v="1"/>
    <n v="600001"/>
    <x v="4"/>
    <x v="1"/>
    <n v="3.26"/>
  </r>
  <r>
    <x v="6"/>
    <x v="1"/>
    <n v="500001"/>
    <x v="5"/>
    <x v="1"/>
    <n v="2.76"/>
  </r>
  <r>
    <x v="6"/>
    <x v="1"/>
    <n v="411001"/>
    <x v="6"/>
    <x v="1"/>
    <n v="2.6"/>
  </r>
  <r>
    <x v="6"/>
    <x v="1"/>
    <n v="380001"/>
    <x v="7"/>
    <x v="1"/>
    <n v="2.54"/>
  </r>
  <r>
    <x v="6"/>
    <x v="1"/>
    <n v="302001"/>
    <x v="8"/>
    <x v="1"/>
    <n v="1.52"/>
  </r>
  <r>
    <x v="6"/>
    <x v="1"/>
    <n v="226001"/>
    <x v="9"/>
    <x v="1"/>
    <n v="1.57"/>
  </r>
  <r>
    <x v="6"/>
    <x v="1"/>
    <n v="800008"/>
    <x v="10"/>
    <x v="1"/>
    <n v="0.98"/>
  </r>
  <r>
    <x v="6"/>
    <x v="1"/>
    <n v="641001"/>
    <x v="11"/>
    <x v="1"/>
    <n v="1.63"/>
  </r>
  <r>
    <x v="6"/>
    <x v="1"/>
    <n v="160017"/>
    <x v="12"/>
    <x v="1"/>
    <n v="0.66"/>
  </r>
  <r>
    <x v="6"/>
    <x v="1"/>
    <n v="122001"/>
    <x v="13"/>
    <x v="1"/>
    <n v="0.56999999999999995"/>
  </r>
  <r>
    <x v="6"/>
    <x v="1"/>
    <n v="492001"/>
    <x v="14"/>
    <x v="1"/>
    <n v="0.37"/>
  </r>
  <r>
    <x v="7"/>
    <x v="1"/>
    <n v="400001"/>
    <x v="0"/>
    <x v="1"/>
    <n v="5.46"/>
  </r>
  <r>
    <x v="7"/>
    <x v="1"/>
    <n v="110001"/>
    <x v="1"/>
    <x v="1"/>
    <n v="5.47"/>
  </r>
  <r>
    <x v="7"/>
    <x v="1"/>
    <n v="700001"/>
    <x v="2"/>
    <x v="1"/>
    <n v="4.32"/>
  </r>
  <r>
    <x v="7"/>
    <x v="1"/>
    <n v="560001"/>
    <x v="3"/>
    <x v="1"/>
    <n v="3.85"/>
  </r>
  <r>
    <x v="7"/>
    <x v="1"/>
    <n v="600001"/>
    <x v="4"/>
    <x v="1"/>
    <n v="2.6"/>
  </r>
  <r>
    <x v="7"/>
    <x v="1"/>
    <n v="500001"/>
    <x v="5"/>
    <x v="1"/>
    <n v="2.34"/>
  </r>
  <r>
    <x v="7"/>
    <x v="1"/>
    <n v="411001"/>
    <x v="6"/>
    <x v="1"/>
    <n v="4.16"/>
  </r>
  <r>
    <x v="7"/>
    <x v="1"/>
    <n v="380001"/>
    <x v="7"/>
    <x v="1"/>
    <n v="2.08"/>
  </r>
  <r>
    <x v="7"/>
    <x v="1"/>
    <n v="302001"/>
    <x v="8"/>
    <x v="1"/>
    <n v="1.48"/>
  </r>
  <r>
    <x v="7"/>
    <x v="1"/>
    <n v="226001"/>
    <x v="9"/>
    <x v="1"/>
    <n v="1.31"/>
  </r>
  <r>
    <x v="7"/>
    <x v="1"/>
    <n v="800008"/>
    <x v="10"/>
    <x v="1"/>
    <n v="1.07"/>
  </r>
  <r>
    <x v="7"/>
    <x v="1"/>
    <n v="641001"/>
    <x v="11"/>
    <x v="1"/>
    <n v="0.78"/>
  </r>
  <r>
    <x v="7"/>
    <x v="1"/>
    <n v="160017"/>
    <x v="12"/>
    <x v="1"/>
    <n v="0.89"/>
  </r>
  <r>
    <x v="7"/>
    <x v="1"/>
    <n v="122001"/>
    <x v="13"/>
    <x v="1"/>
    <n v="0.54"/>
  </r>
  <r>
    <x v="7"/>
    <x v="1"/>
    <n v="492001"/>
    <x v="14"/>
    <x v="1"/>
    <n v="0.41"/>
  </r>
  <r>
    <x v="0"/>
    <x v="0"/>
    <n v="400001"/>
    <x v="0"/>
    <x v="2"/>
    <n v="4.17"/>
  </r>
  <r>
    <x v="0"/>
    <x v="0"/>
    <n v="110001"/>
    <x v="1"/>
    <x v="2"/>
    <n v="4.01"/>
  </r>
  <r>
    <x v="0"/>
    <x v="0"/>
    <n v="700001"/>
    <x v="2"/>
    <x v="2"/>
    <n v="3.88"/>
  </r>
  <r>
    <x v="0"/>
    <x v="0"/>
    <n v="560001"/>
    <x v="3"/>
    <x v="2"/>
    <n v="3.01"/>
  </r>
  <r>
    <x v="0"/>
    <x v="0"/>
    <n v="600001"/>
    <x v="4"/>
    <x v="2"/>
    <n v="2.5299999999999998"/>
  </r>
  <r>
    <x v="0"/>
    <x v="0"/>
    <n v="500001"/>
    <x v="5"/>
    <x v="2"/>
    <n v="2.09"/>
  </r>
  <r>
    <x v="0"/>
    <x v="0"/>
    <n v="411001"/>
    <x v="6"/>
    <x v="2"/>
    <n v="2.0499999999999998"/>
  </r>
  <r>
    <x v="0"/>
    <x v="0"/>
    <n v="380001"/>
    <x v="7"/>
    <x v="2"/>
    <n v="1.79"/>
  </r>
  <r>
    <x v="0"/>
    <x v="0"/>
    <n v="302001"/>
    <x v="8"/>
    <x v="2"/>
    <n v="1.64"/>
  </r>
  <r>
    <x v="0"/>
    <x v="0"/>
    <n v="226001"/>
    <x v="9"/>
    <x v="2"/>
    <n v="1.18"/>
  </r>
  <r>
    <x v="0"/>
    <x v="0"/>
    <n v="800008"/>
    <x v="10"/>
    <x v="2"/>
    <n v="1.53"/>
  </r>
  <r>
    <x v="0"/>
    <x v="0"/>
    <n v="641001"/>
    <x v="11"/>
    <x v="2"/>
    <n v="0.49"/>
  </r>
  <r>
    <x v="0"/>
    <x v="0"/>
    <n v="160017"/>
    <x v="12"/>
    <x v="2"/>
    <n v="0.53"/>
  </r>
  <r>
    <x v="0"/>
    <x v="0"/>
    <n v="122001"/>
    <x v="13"/>
    <x v="2"/>
    <n v="0.45"/>
  </r>
  <r>
    <x v="0"/>
    <x v="0"/>
    <n v="492001"/>
    <x v="14"/>
    <x v="2"/>
    <n v="0.28999999999999998"/>
  </r>
  <r>
    <x v="1"/>
    <x v="0"/>
    <n v="400001"/>
    <x v="0"/>
    <x v="2"/>
    <n v="4.63"/>
  </r>
  <r>
    <x v="1"/>
    <x v="0"/>
    <n v="110001"/>
    <x v="1"/>
    <x v="2"/>
    <n v="3.62"/>
  </r>
  <r>
    <x v="1"/>
    <x v="0"/>
    <n v="700001"/>
    <x v="2"/>
    <x v="2"/>
    <n v="3.37"/>
  </r>
  <r>
    <x v="1"/>
    <x v="0"/>
    <n v="560001"/>
    <x v="3"/>
    <x v="2"/>
    <n v="3.88"/>
  </r>
  <r>
    <x v="1"/>
    <x v="0"/>
    <n v="600001"/>
    <x v="4"/>
    <x v="2"/>
    <n v="5.0999999999999996"/>
  </r>
  <r>
    <x v="1"/>
    <x v="0"/>
    <n v="500001"/>
    <x v="5"/>
    <x v="2"/>
    <n v="3.01"/>
  </r>
  <r>
    <x v="1"/>
    <x v="0"/>
    <n v="411001"/>
    <x v="6"/>
    <x v="2"/>
    <n v="2.75"/>
  </r>
  <r>
    <x v="1"/>
    <x v="0"/>
    <n v="380001"/>
    <x v="7"/>
    <x v="2"/>
    <n v="1.62"/>
  </r>
  <r>
    <x v="1"/>
    <x v="0"/>
    <n v="302001"/>
    <x v="8"/>
    <x v="2"/>
    <n v="0.95"/>
  </r>
  <r>
    <x v="1"/>
    <x v="0"/>
    <n v="226001"/>
    <x v="9"/>
    <x v="2"/>
    <n v="2.33"/>
  </r>
  <r>
    <x v="1"/>
    <x v="0"/>
    <n v="800008"/>
    <x v="10"/>
    <x v="2"/>
    <n v="1.02"/>
  </r>
  <r>
    <x v="1"/>
    <x v="0"/>
    <n v="641001"/>
    <x v="11"/>
    <x v="2"/>
    <n v="1.1100000000000001"/>
  </r>
  <r>
    <x v="1"/>
    <x v="0"/>
    <n v="160017"/>
    <x v="12"/>
    <x v="2"/>
    <n v="0.51"/>
  </r>
  <r>
    <x v="1"/>
    <x v="0"/>
    <n v="122001"/>
    <x v="13"/>
    <x v="2"/>
    <n v="0.66"/>
  </r>
  <r>
    <x v="1"/>
    <x v="0"/>
    <n v="492001"/>
    <x v="14"/>
    <x v="2"/>
    <n v="0.34"/>
  </r>
  <r>
    <x v="2"/>
    <x v="0"/>
    <n v="400001"/>
    <x v="0"/>
    <x v="2"/>
    <n v="4.5599999999999996"/>
  </r>
  <r>
    <x v="2"/>
    <x v="0"/>
    <n v="110001"/>
    <x v="1"/>
    <x v="2"/>
    <n v="3.9"/>
  </r>
  <r>
    <x v="2"/>
    <x v="0"/>
    <n v="700001"/>
    <x v="2"/>
    <x v="2"/>
    <n v="5.99"/>
  </r>
  <r>
    <x v="2"/>
    <x v="0"/>
    <n v="560001"/>
    <x v="3"/>
    <x v="2"/>
    <n v="3.88"/>
  </r>
  <r>
    <x v="2"/>
    <x v="0"/>
    <n v="600001"/>
    <x v="4"/>
    <x v="2"/>
    <n v="2.59"/>
  </r>
  <r>
    <x v="2"/>
    <x v="0"/>
    <n v="500001"/>
    <x v="5"/>
    <x v="2"/>
    <n v="2.41"/>
  </r>
  <r>
    <x v="2"/>
    <x v="0"/>
    <n v="411001"/>
    <x v="6"/>
    <x v="2"/>
    <n v="2.64"/>
  </r>
  <r>
    <x v="2"/>
    <x v="0"/>
    <n v="380001"/>
    <x v="7"/>
    <x v="2"/>
    <n v="2.8"/>
  </r>
  <r>
    <x v="2"/>
    <x v="0"/>
    <n v="302001"/>
    <x v="8"/>
    <x v="2"/>
    <n v="1.46"/>
  </r>
  <r>
    <x v="2"/>
    <x v="0"/>
    <n v="226001"/>
    <x v="9"/>
    <x v="2"/>
    <n v="1.23"/>
  </r>
  <r>
    <x v="2"/>
    <x v="0"/>
    <n v="800008"/>
    <x v="10"/>
    <x v="2"/>
    <n v="0.78"/>
  </r>
  <r>
    <x v="2"/>
    <x v="0"/>
    <n v="641001"/>
    <x v="11"/>
    <x v="2"/>
    <n v="1.61"/>
  </r>
  <r>
    <x v="2"/>
    <x v="0"/>
    <n v="160017"/>
    <x v="12"/>
    <x v="2"/>
    <n v="0.65"/>
  </r>
  <r>
    <x v="2"/>
    <x v="0"/>
    <n v="122001"/>
    <x v="13"/>
    <x v="2"/>
    <n v="0.53"/>
  </r>
  <r>
    <x v="2"/>
    <x v="0"/>
    <n v="492001"/>
    <x v="14"/>
    <x v="2"/>
    <n v="0.28999999999999998"/>
  </r>
  <r>
    <x v="3"/>
    <x v="0"/>
    <n v="400001"/>
    <x v="0"/>
    <x v="2"/>
    <n v="3.73"/>
  </r>
  <r>
    <x v="3"/>
    <x v="0"/>
    <n v="110001"/>
    <x v="1"/>
    <x v="2"/>
    <n v="3.15"/>
  </r>
  <r>
    <x v="3"/>
    <x v="0"/>
    <n v="700001"/>
    <x v="2"/>
    <x v="2"/>
    <n v="3.34"/>
  </r>
  <r>
    <x v="3"/>
    <x v="0"/>
    <n v="560001"/>
    <x v="3"/>
    <x v="2"/>
    <n v="3.62"/>
  </r>
  <r>
    <x v="3"/>
    <x v="0"/>
    <n v="600001"/>
    <x v="4"/>
    <x v="2"/>
    <n v="3.31"/>
  </r>
  <r>
    <x v="3"/>
    <x v="0"/>
    <n v="500001"/>
    <x v="5"/>
    <x v="2"/>
    <n v="2.06"/>
  </r>
  <r>
    <x v="3"/>
    <x v="0"/>
    <n v="411001"/>
    <x v="6"/>
    <x v="2"/>
    <n v="4.22"/>
  </r>
  <r>
    <x v="3"/>
    <x v="0"/>
    <n v="380001"/>
    <x v="7"/>
    <x v="2"/>
    <n v="2.48"/>
  </r>
  <r>
    <x v="3"/>
    <x v="0"/>
    <n v="302001"/>
    <x v="8"/>
    <x v="2"/>
    <n v="1.22"/>
  </r>
  <r>
    <x v="3"/>
    <x v="0"/>
    <n v="226001"/>
    <x v="9"/>
    <x v="2"/>
    <n v="1.3"/>
  </r>
  <r>
    <x v="3"/>
    <x v="0"/>
    <n v="800008"/>
    <x v="10"/>
    <x v="2"/>
    <n v="1.0900000000000001"/>
  </r>
  <r>
    <x v="3"/>
    <x v="0"/>
    <n v="641001"/>
    <x v="11"/>
    <x v="2"/>
    <n v="0.76"/>
  </r>
  <r>
    <x v="3"/>
    <x v="0"/>
    <n v="160017"/>
    <x v="12"/>
    <x v="2"/>
    <n v="0.94"/>
  </r>
  <r>
    <x v="3"/>
    <x v="0"/>
    <n v="122001"/>
    <x v="13"/>
    <x v="2"/>
    <n v="0.45"/>
  </r>
  <r>
    <x v="3"/>
    <x v="0"/>
    <n v="492001"/>
    <x v="14"/>
    <x v="2"/>
    <n v="0.4"/>
  </r>
  <r>
    <x v="4"/>
    <x v="1"/>
    <n v="400001"/>
    <x v="0"/>
    <x v="2"/>
    <n v="5.95"/>
  </r>
  <r>
    <x v="4"/>
    <x v="1"/>
    <n v="110001"/>
    <x v="1"/>
    <x v="2"/>
    <n v="3.53"/>
  </r>
  <r>
    <x v="4"/>
    <x v="1"/>
    <n v="700001"/>
    <x v="2"/>
    <x v="2"/>
    <n v="2.95"/>
  </r>
  <r>
    <x v="4"/>
    <x v="1"/>
    <n v="560001"/>
    <x v="3"/>
    <x v="2"/>
    <n v="3.37"/>
  </r>
  <r>
    <x v="4"/>
    <x v="1"/>
    <n v="600001"/>
    <x v="4"/>
    <x v="2"/>
    <n v="3.04"/>
  </r>
  <r>
    <x v="4"/>
    <x v="1"/>
    <n v="500001"/>
    <x v="5"/>
    <x v="2"/>
    <n v="2.5299999999999998"/>
  </r>
  <r>
    <x v="4"/>
    <x v="1"/>
    <n v="411001"/>
    <x v="6"/>
    <x v="2"/>
    <n v="1.71"/>
  </r>
  <r>
    <x v="4"/>
    <x v="1"/>
    <n v="380001"/>
    <x v="7"/>
    <x v="2"/>
    <n v="1.53"/>
  </r>
  <r>
    <x v="4"/>
    <x v="1"/>
    <n v="302001"/>
    <x v="8"/>
    <x v="2"/>
    <n v="1.71"/>
  </r>
  <r>
    <x v="4"/>
    <x v="1"/>
    <n v="226001"/>
    <x v="9"/>
    <x v="2"/>
    <n v="0.99"/>
  </r>
  <r>
    <x v="4"/>
    <x v="1"/>
    <n v="800008"/>
    <x v="10"/>
    <x v="2"/>
    <n v="1.24"/>
  </r>
  <r>
    <x v="4"/>
    <x v="1"/>
    <n v="641001"/>
    <x v="11"/>
    <x v="2"/>
    <n v="0.5"/>
  </r>
  <r>
    <x v="4"/>
    <x v="1"/>
    <n v="160017"/>
    <x v="12"/>
    <x v="2"/>
    <n v="0.5"/>
  </r>
  <r>
    <x v="4"/>
    <x v="1"/>
    <n v="122001"/>
    <x v="13"/>
    <x v="2"/>
    <n v="0.45"/>
  </r>
  <r>
    <x v="4"/>
    <x v="1"/>
    <n v="492001"/>
    <x v="14"/>
    <x v="2"/>
    <n v="0.41"/>
  </r>
  <r>
    <x v="5"/>
    <x v="1"/>
    <n v="400001"/>
    <x v="0"/>
    <x v="2"/>
    <n v="5.36"/>
  </r>
  <r>
    <x v="5"/>
    <x v="1"/>
    <n v="110001"/>
    <x v="1"/>
    <x v="2"/>
    <n v="4.79"/>
  </r>
  <r>
    <x v="5"/>
    <x v="1"/>
    <n v="700001"/>
    <x v="2"/>
    <x v="2"/>
    <n v="2.86"/>
  </r>
  <r>
    <x v="5"/>
    <x v="1"/>
    <n v="560001"/>
    <x v="3"/>
    <x v="2"/>
    <n v="3.91"/>
  </r>
  <r>
    <x v="5"/>
    <x v="1"/>
    <n v="600001"/>
    <x v="4"/>
    <x v="2"/>
    <n v="3.98"/>
  </r>
  <r>
    <x v="5"/>
    <x v="1"/>
    <n v="500001"/>
    <x v="5"/>
    <x v="2"/>
    <n v="3.12"/>
  </r>
  <r>
    <x v="5"/>
    <x v="1"/>
    <n v="411001"/>
    <x v="6"/>
    <x v="2"/>
    <n v="2.14"/>
  </r>
  <r>
    <x v="5"/>
    <x v="1"/>
    <n v="380001"/>
    <x v="7"/>
    <x v="2"/>
    <n v="1.59"/>
  </r>
  <r>
    <x v="5"/>
    <x v="1"/>
    <n v="302001"/>
    <x v="8"/>
    <x v="2"/>
    <n v="1.05"/>
  </r>
  <r>
    <x v="5"/>
    <x v="1"/>
    <n v="226001"/>
    <x v="9"/>
    <x v="2"/>
    <n v="1.64"/>
  </r>
  <r>
    <x v="5"/>
    <x v="1"/>
    <n v="800008"/>
    <x v="10"/>
    <x v="2"/>
    <n v="0.8"/>
  </r>
  <r>
    <x v="5"/>
    <x v="1"/>
    <n v="641001"/>
    <x v="11"/>
    <x v="2"/>
    <n v="1.07"/>
  </r>
  <r>
    <x v="5"/>
    <x v="1"/>
    <n v="160017"/>
    <x v="12"/>
    <x v="2"/>
    <n v="0.53"/>
  </r>
  <r>
    <x v="5"/>
    <x v="1"/>
    <n v="122001"/>
    <x v="13"/>
    <x v="2"/>
    <n v="0.85"/>
  </r>
  <r>
    <x v="5"/>
    <x v="1"/>
    <n v="492001"/>
    <x v="14"/>
    <x v="2"/>
    <n v="0.38"/>
  </r>
  <r>
    <x v="6"/>
    <x v="1"/>
    <n v="400001"/>
    <x v="0"/>
    <x v="2"/>
    <n v="4.25"/>
  </r>
  <r>
    <x v="6"/>
    <x v="1"/>
    <n v="110001"/>
    <x v="1"/>
    <x v="2"/>
    <n v="3.37"/>
  </r>
  <r>
    <x v="6"/>
    <x v="1"/>
    <n v="700001"/>
    <x v="2"/>
    <x v="2"/>
    <n v="6.55"/>
  </r>
  <r>
    <x v="6"/>
    <x v="1"/>
    <n v="560001"/>
    <x v="3"/>
    <x v="2"/>
    <n v="3.5"/>
  </r>
  <r>
    <x v="6"/>
    <x v="1"/>
    <n v="600001"/>
    <x v="4"/>
    <x v="2"/>
    <n v="2.42"/>
  </r>
  <r>
    <x v="6"/>
    <x v="1"/>
    <n v="500001"/>
    <x v="5"/>
    <x v="2"/>
    <n v="2.54"/>
  </r>
  <r>
    <x v="6"/>
    <x v="1"/>
    <n v="411001"/>
    <x v="6"/>
    <x v="2"/>
    <n v="2.15"/>
  </r>
  <r>
    <x v="6"/>
    <x v="1"/>
    <n v="380001"/>
    <x v="7"/>
    <x v="2"/>
    <n v="1.99"/>
  </r>
  <r>
    <x v="6"/>
    <x v="1"/>
    <n v="302001"/>
    <x v="8"/>
    <x v="2"/>
    <n v="1.52"/>
  </r>
  <r>
    <x v="6"/>
    <x v="1"/>
    <n v="226001"/>
    <x v="9"/>
    <x v="2"/>
    <n v="1.39"/>
  </r>
  <r>
    <x v="6"/>
    <x v="1"/>
    <n v="800008"/>
    <x v="10"/>
    <x v="2"/>
    <n v="0.94"/>
  </r>
  <r>
    <x v="6"/>
    <x v="1"/>
    <n v="641001"/>
    <x v="11"/>
    <x v="2"/>
    <n v="1.49"/>
  </r>
  <r>
    <x v="6"/>
    <x v="1"/>
    <n v="160017"/>
    <x v="12"/>
    <x v="2"/>
    <n v="0.49"/>
  </r>
  <r>
    <x v="6"/>
    <x v="1"/>
    <n v="122001"/>
    <x v="13"/>
    <x v="2"/>
    <n v="0.55000000000000004"/>
  </r>
  <r>
    <x v="6"/>
    <x v="1"/>
    <n v="492001"/>
    <x v="14"/>
    <x v="2"/>
    <n v="0.33"/>
  </r>
  <r>
    <x v="7"/>
    <x v="1"/>
    <n v="400001"/>
    <x v="0"/>
    <x v="2"/>
    <n v="4.75"/>
  </r>
  <r>
    <x v="7"/>
    <x v="1"/>
    <n v="110001"/>
    <x v="1"/>
    <x v="2"/>
    <n v="4.66"/>
  </r>
  <r>
    <x v="7"/>
    <x v="1"/>
    <n v="700001"/>
    <x v="2"/>
    <x v="2"/>
    <n v="3.98"/>
  </r>
  <r>
    <x v="7"/>
    <x v="1"/>
    <n v="560001"/>
    <x v="3"/>
    <x v="2"/>
    <n v="2.96"/>
  </r>
  <r>
    <x v="7"/>
    <x v="1"/>
    <n v="600001"/>
    <x v="4"/>
    <x v="2"/>
    <n v="2.04"/>
  </r>
  <r>
    <x v="7"/>
    <x v="1"/>
    <n v="500001"/>
    <x v="5"/>
    <x v="2"/>
    <n v="1.87"/>
  </r>
  <r>
    <x v="7"/>
    <x v="1"/>
    <n v="411001"/>
    <x v="6"/>
    <x v="2"/>
    <n v="3.62"/>
  </r>
  <r>
    <x v="7"/>
    <x v="1"/>
    <n v="380001"/>
    <x v="7"/>
    <x v="2"/>
    <n v="2"/>
  </r>
  <r>
    <x v="7"/>
    <x v="1"/>
    <n v="302001"/>
    <x v="8"/>
    <x v="2"/>
    <n v="1.35"/>
  </r>
  <r>
    <x v="7"/>
    <x v="1"/>
    <n v="226001"/>
    <x v="9"/>
    <x v="2"/>
    <n v="1.0900000000000001"/>
  </r>
  <r>
    <x v="7"/>
    <x v="1"/>
    <n v="800008"/>
    <x v="10"/>
    <x v="2"/>
    <n v="1.07"/>
  </r>
  <r>
    <x v="7"/>
    <x v="1"/>
    <n v="641001"/>
    <x v="11"/>
    <x v="2"/>
    <n v="0.64"/>
  </r>
  <r>
    <x v="7"/>
    <x v="1"/>
    <n v="160017"/>
    <x v="12"/>
    <x v="2"/>
    <n v="0.81"/>
  </r>
  <r>
    <x v="7"/>
    <x v="1"/>
    <n v="122001"/>
    <x v="13"/>
    <x v="2"/>
    <n v="0.45"/>
  </r>
  <r>
    <x v="7"/>
    <x v="1"/>
    <n v="492001"/>
    <x v="14"/>
    <x v="2"/>
    <n v="0.36"/>
  </r>
  <r>
    <x v="0"/>
    <x v="0"/>
    <n v="400001"/>
    <x v="0"/>
    <x v="3"/>
    <n v="3.48"/>
  </r>
  <r>
    <x v="0"/>
    <x v="0"/>
    <n v="110001"/>
    <x v="1"/>
    <x v="3"/>
    <n v="3.29"/>
  </r>
  <r>
    <x v="0"/>
    <x v="0"/>
    <n v="700001"/>
    <x v="2"/>
    <x v="3"/>
    <n v="3.32"/>
  </r>
  <r>
    <x v="0"/>
    <x v="0"/>
    <n v="560001"/>
    <x v="3"/>
    <x v="3"/>
    <n v="2.88"/>
  </r>
  <r>
    <x v="0"/>
    <x v="0"/>
    <n v="600001"/>
    <x v="4"/>
    <x v="3"/>
    <n v="2.04"/>
  </r>
  <r>
    <x v="0"/>
    <x v="0"/>
    <n v="500001"/>
    <x v="5"/>
    <x v="3"/>
    <n v="1.67"/>
  </r>
  <r>
    <x v="0"/>
    <x v="0"/>
    <n v="411001"/>
    <x v="6"/>
    <x v="3"/>
    <n v="1.54"/>
  </r>
  <r>
    <x v="0"/>
    <x v="0"/>
    <n v="380001"/>
    <x v="7"/>
    <x v="3"/>
    <n v="1.37"/>
  </r>
  <r>
    <x v="0"/>
    <x v="0"/>
    <n v="302001"/>
    <x v="8"/>
    <x v="3"/>
    <n v="1.3"/>
  </r>
  <r>
    <x v="0"/>
    <x v="0"/>
    <n v="226001"/>
    <x v="9"/>
    <x v="3"/>
    <n v="0.8"/>
  </r>
  <r>
    <x v="0"/>
    <x v="0"/>
    <n v="800008"/>
    <x v="10"/>
    <x v="3"/>
    <n v="1.1100000000000001"/>
  </r>
  <r>
    <x v="0"/>
    <x v="0"/>
    <n v="641001"/>
    <x v="11"/>
    <x v="3"/>
    <n v="0.45"/>
  </r>
  <r>
    <x v="0"/>
    <x v="0"/>
    <n v="160017"/>
    <x v="12"/>
    <x v="3"/>
    <n v="0.39"/>
  </r>
  <r>
    <x v="0"/>
    <x v="0"/>
    <n v="122001"/>
    <x v="13"/>
    <x v="3"/>
    <n v="0.36"/>
  </r>
  <r>
    <x v="0"/>
    <x v="0"/>
    <n v="492001"/>
    <x v="14"/>
    <x v="3"/>
    <n v="0.28999999999999998"/>
  </r>
  <r>
    <x v="1"/>
    <x v="0"/>
    <n v="400001"/>
    <x v="0"/>
    <x v="3"/>
    <n v="4.03"/>
  </r>
  <r>
    <x v="1"/>
    <x v="0"/>
    <n v="110001"/>
    <x v="1"/>
    <x v="3"/>
    <n v="2.96"/>
  </r>
  <r>
    <x v="1"/>
    <x v="0"/>
    <n v="700001"/>
    <x v="2"/>
    <x v="3"/>
    <n v="2.91"/>
  </r>
  <r>
    <x v="1"/>
    <x v="0"/>
    <n v="560001"/>
    <x v="3"/>
    <x v="3"/>
    <n v="3.18"/>
  </r>
  <r>
    <x v="1"/>
    <x v="0"/>
    <n v="600001"/>
    <x v="4"/>
    <x v="3"/>
    <n v="4.04"/>
  </r>
  <r>
    <x v="1"/>
    <x v="0"/>
    <n v="500001"/>
    <x v="5"/>
    <x v="3"/>
    <n v="2.2000000000000002"/>
  </r>
  <r>
    <x v="1"/>
    <x v="0"/>
    <n v="411001"/>
    <x v="6"/>
    <x v="3"/>
    <n v="1.97"/>
  </r>
  <r>
    <x v="1"/>
    <x v="0"/>
    <n v="380001"/>
    <x v="7"/>
    <x v="3"/>
    <n v="1.08"/>
  </r>
  <r>
    <x v="1"/>
    <x v="0"/>
    <n v="302001"/>
    <x v="8"/>
    <x v="3"/>
    <n v="0.91"/>
  </r>
  <r>
    <x v="1"/>
    <x v="0"/>
    <n v="226001"/>
    <x v="9"/>
    <x v="3"/>
    <n v="1.96"/>
  </r>
  <r>
    <x v="1"/>
    <x v="0"/>
    <n v="800008"/>
    <x v="10"/>
    <x v="3"/>
    <n v="0.68"/>
  </r>
  <r>
    <x v="1"/>
    <x v="0"/>
    <n v="641001"/>
    <x v="11"/>
    <x v="3"/>
    <n v="0.85"/>
  </r>
  <r>
    <x v="1"/>
    <x v="0"/>
    <n v="160017"/>
    <x v="12"/>
    <x v="3"/>
    <n v="0.36"/>
  </r>
  <r>
    <x v="1"/>
    <x v="0"/>
    <n v="122001"/>
    <x v="13"/>
    <x v="3"/>
    <n v="0.61"/>
  </r>
  <r>
    <x v="1"/>
    <x v="0"/>
    <n v="492001"/>
    <x v="14"/>
    <x v="3"/>
    <n v="0.27"/>
  </r>
  <r>
    <x v="2"/>
    <x v="0"/>
    <n v="400001"/>
    <x v="0"/>
    <x v="3"/>
    <n v="3.47"/>
  </r>
  <r>
    <x v="2"/>
    <x v="0"/>
    <n v="110001"/>
    <x v="1"/>
    <x v="3"/>
    <n v="3.41"/>
  </r>
  <r>
    <x v="2"/>
    <x v="0"/>
    <n v="700001"/>
    <x v="2"/>
    <x v="3"/>
    <n v="4.21"/>
  </r>
  <r>
    <x v="2"/>
    <x v="0"/>
    <n v="560001"/>
    <x v="3"/>
    <x v="3"/>
    <n v="2.95"/>
  </r>
  <r>
    <x v="2"/>
    <x v="0"/>
    <n v="600001"/>
    <x v="4"/>
    <x v="3"/>
    <n v="1.76"/>
  </r>
  <r>
    <x v="2"/>
    <x v="0"/>
    <n v="500001"/>
    <x v="5"/>
    <x v="3"/>
    <n v="2.31"/>
  </r>
  <r>
    <x v="2"/>
    <x v="0"/>
    <n v="411001"/>
    <x v="6"/>
    <x v="3"/>
    <n v="2.09"/>
  </r>
  <r>
    <x v="2"/>
    <x v="0"/>
    <n v="380001"/>
    <x v="7"/>
    <x v="3"/>
    <n v="2.12"/>
  </r>
  <r>
    <x v="2"/>
    <x v="0"/>
    <n v="302001"/>
    <x v="8"/>
    <x v="3"/>
    <n v="0.94"/>
  </r>
  <r>
    <x v="2"/>
    <x v="0"/>
    <n v="226001"/>
    <x v="9"/>
    <x v="3"/>
    <n v="1.1299999999999999"/>
  </r>
  <r>
    <x v="2"/>
    <x v="0"/>
    <n v="800008"/>
    <x v="10"/>
    <x v="3"/>
    <n v="0.66"/>
  </r>
  <r>
    <x v="2"/>
    <x v="0"/>
    <n v="641001"/>
    <x v="11"/>
    <x v="3"/>
    <n v="1.1299999999999999"/>
  </r>
  <r>
    <x v="2"/>
    <x v="0"/>
    <n v="160017"/>
    <x v="12"/>
    <x v="3"/>
    <n v="0.68"/>
  </r>
  <r>
    <x v="2"/>
    <x v="0"/>
    <n v="122001"/>
    <x v="13"/>
    <x v="3"/>
    <n v="0.32"/>
  </r>
  <r>
    <x v="2"/>
    <x v="0"/>
    <n v="492001"/>
    <x v="14"/>
    <x v="3"/>
    <n v="0.23"/>
  </r>
  <r>
    <x v="3"/>
    <x v="0"/>
    <n v="400001"/>
    <x v="0"/>
    <x v="3"/>
    <n v="3.9"/>
  </r>
  <r>
    <x v="3"/>
    <x v="0"/>
    <n v="110001"/>
    <x v="1"/>
    <x v="3"/>
    <n v="3.15"/>
  </r>
  <r>
    <x v="3"/>
    <x v="0"/>
    <n v="700001"/>
    <x v="2"/>
    <x v="3"/>
    <n v="3.2"/>
  </r>
  <r>
    <x v="3"/>
    <x v="0"/>
    <n v="560001"/>
    <x v="3"/>
    <x v="3"/>
    <n v="3.62"/>
  </r>
  <r>
    <x v="3"/>
    <x v="0"/>
    <n v="600001"/>
    <x v="4"/>
    <x v="3"/>
    <n v="2.4500000000000002"/>
  </r>
  <r>
    <x v="3"/>
    <x v="0"/>
    <n v="500001"/>
    <x v="5"/>
    <x v="3"/>
    <n v="1.74"/>
  </r>
  <r>
    <x v="3"/>
    <x v="0"/>
    <n v="411001"/>
    <x v="6"/>
    <x v="3"/>
    <n v="3.25"/>
  </r>
  <r>
    <x v="3"/>
    <x v="0"/>
    <n v="380001"/>
    <x v="7"/>
    <x v="3"/>
    <n v="1.86"/>
  </r>
  <r>
    <x v="3"/>
    <x v="0"/>
    <n v="302001"/>
    <x v="8"/>
    <x v="3"/>
    <n v="0.89"/>
  </r>
  <r>
    <x v="3"/>
    <x v="0"/>
    <n v="226001"/>
    <x v="9"/>
    <x v="3"/>
    <n v="0.89"/>
  </r>
  <r>
    <x v="3"/>
    <x v="0"/>
    <n v="800008"/>
    <x v="10"/>
    <x v="3"/>
    <n v="0.86"/>
  </r>
  <r>
    <x v="3"/>
    <x v="0"/>
    <n v="641001"/>
    <x v="11"/>
    <x v="3"/>
    <n v="0.7"/>
  </r>
  <r>
    <x v="3"/>
    <x v="0"/>
    <n v="160017"/>
    <x v="12"/>
    <x v="3"/>
    <n v="0.72"/>
  </r>
  <r>
    <x v="3"/>
    <x v="0"/>
    <n v="122001"/>
    <x v="13"/>
    <x v="3"/>
    <n v="0.34"/>
  </r>
  <r>
    <x v="3"/>
    <x v="0"/>
    <n v="492001"/>
    <x v="14"/>
    <x v="3"/>
    <n v="0.26"/>
  </r>
  <r>
    <x v="4"/>
    <x v="1"/>
    <n v="400001"/>
    <x v="0"/>
    <x v="3"/>
    <n v="3.36"/>
  </r>
  <r>
    <x v="4"/>
    <x v="1"/>
    <n v="110001"/>
    <x v="1"/>
    <x v="3"/>
    <n v="2.21"/>
  </r>
  <r>
    <x v="4"/>
    <x v="1"/>
    <n v="700001"/>
    <x v="2"/>
    <x v="3"/>
    <n v="2.15"/>
  </r>
  <r>
    <x v="4"/>
    <x v="1"/>
    <n v="560001"/>
    <x v="3"/>
    <x v="3"/>
    <n v="2.41"/>
  </r>
  <r>
    <x v="4"/>
    <x v="1"/>
    <n v="600001"/>
    <x v="4"/>
    <x v="3"/>
    <n v="1.72"/>
  </r>
  <r>
    <x v="4"/>
    <x v="1"/>
    <n v="500001"/>
    <x v="5"/>
    <x v="3"/>
    <n v="1.32"/>
  </r>
  <r>
    <x v="4"/>
    <x v="1"/>
    <n v="411001"/>
    <x v="6"/>
    <x v="3"/>
    <n v="1.44"/>
  </r>
  <r>
    <x v="4"/>
    <x v="1"/>
    <n v="380001"/>
    <x v="7"/>
    <x v="3"/>
    <n v="1.29"/>
  </r>
  <r>
    <x v="4"/>
    <x v="1"/>
    <n v="302001"/>
    <x v="8"/>
    <x v="3"/>
    <n v="1.1399999999999999"/>
  </r>
  <r>
    <x v="4"/>
    <x v="1"/>
    <n v="226001"/>
    <x v="9"/>
    <x v="3"/>
    <n v="0.62"/>
  </r>
  <r>
    <x v="4"/>
    <x v="1"/>
    <n v="800008"/>
    <x v="10"/>
    <x v="3"/>
    <n v="1.05"/>
  </r>
  <r>
    <x v="4"/>
    <x v="1"/>
    <n v="641001"/>
    <x v="11"/>
    <x v="3"/>
    <n v="0.36"/>
  </r>
  <r>
    <x v="4"/>
    <x v="1"/>
    <n v="160017"/>
    <x v="12"/>
    <x v="3"/>
    <n v="0.32"/>
  </r>
  <r>
    <x v="4"/>
    <x v="1"/>
    <n v="122001"/>
    <x v="13"/>
    <x v="3"/>
    <n v="0.3"/>
  </r>
  <r>
    <x v="4"/>
    <x v="1"/>
    <n v="492001"/>
    <x v="14"/>
    <x v="3"/>
    <n v="0.26"/>
  </r>
  <r>
    <x v="5"/>
    <x v="1"/>
    <n v="400001"/>
    <x v="0"/>
    <x v="3"/>
    <n v="2.68"/>
  </r>
  <r>
    <x v="5"/>
    <x v="1"/>
    <n v="110001"/>
    <x v="1"/>
    <x v="3"/>
    <n v="3.33"/>
  </r>
  <r>
    <x v="5"/>
    <x v="1"/>
    <n v="700001"/>
    <x v="2"/>
    <x v="3"/>
    <n v="2.3199999999999998"/>
  </r>
  <r>
    <x v="5"/>
    <x v="1"/>
    <n v="560001"/>
    <x v="3"/>
    <x v="3"/>
    <n v="2.6"/>
  </r>
  <r>
    <x v="5"/>
    <x v="1"/>
    <n v="600001"/>
    <x v="4"/>
    <x v="3"/>
    <n v="3.1"/>
  </r>
  <r>
    <x v="5"/>
    <x v="1"/>
    <n v="500001"/>
    <x v="5"/>
    <x v="3"/>
    <n v="2.0299999999999998"/>
  </r>
  <r>
    <x v="5"/>
    <x v="1"/>
    <n v="411001"/>
    <x v="6"/>
    <x v="3"/>
    <n v="1.53"/>
  </r>
  <r>
    <x v="5"/>
    <x v="1"/>
    <n v="380001"/>
    <x v="7"/>
    <x v="3"/>
    <n v="1.27"/>
  </r>
  <r>
    <x v="5"/>
    <x v="1"/>
    <n v="302001"/>
    <x v="8"/>
    <x v="3"/>
    <n v="0.94"/>
  </r>
  <r>
    <x v="5"/>
    <x v="1"/>
    <n v="226001"/>
    <x v="9"/>
    <x v="3"/>
    <n v="1.46"/>
  </r>
  <r>
    <x v="5"/>
    <x v="1"/>
    <n v="800008"/>
    <x v="10"/>
    <x v="3"/>
    <n v="0.6"/>
  </r>
  <r>
    <x v="5"/>
    <x v="1"/>
    <n v="641001"/>
    <x v="11"/>
    <x v="3"/>
    <n v="0.7"/>
  </r>
  <r>
    <x v="5"/>
    <x v="1"/>
    <n v="160017"/>
    <x v="12"/>
    <x v="3"/>
    <n v="0.34"/>
  </r>
  <r>
    <x v="5"/>
    <x v="1"/>
    <n v="122001"/>
    <x v="13"/>
    <x v="3"/>
    <n v="0.55000000000000004"/>
  </r>
  <r>
    <x v="5"/>
    <x v="1"/>
    <n v="492001"/>
    <x v="14"/>
    <x v="3"/>
    <n v="0.22"/>
  </r>
  <r>
    <x v="6"/>
    <x v="1"/>
    <n v="400001"/>
    <x v="0"/>
    <x v="3"/>
    <n v="3.44"/>
  </r>
  <r>
    <x v="6"/>
    <x v="1"/>
    <n v="110001"/>
    <x v="1"/>
    <x v="3"/>
    <n v="2.81"/>
  </r>
  <r>
    <x v="6"/>
    <x v="1"/>
    <n v="700001"/>
    <x v="2"/>
    <x v="3"/>
    <n v="3.28"/>
  </r>
  <r>
    <x v="6"/>
    <x v="1"/>
    <n v="560001"/>
    <x v="3"/>
    <x v="3"/>
    <n v="2.83"/>
  </r>
  <r>
    <x v="6"/>
    <x v="1"/>
    <n v="600001"/>
    <x v="4"/>
    <x v="3"/>
    <n v="1.45"/>
  </r>
  <r>
    <x v="6"/>
    <x v="1"/>
    <n v="500001"/>
    <x v="5"/>
    <x v="3"/>
    <n v="1.66"/>
  </r>
  <r>
    <x v="6"/>
    <x v="1"/>
    <n v="411001"/>
    <x v="6"/>
    <x v="3"/>
    <n v="1.47"/>
  </r>
  <r>
    <x v="6"/>
    <x v="1"/>
    <n v="380001"/>
    <x v="7"/>
    <x v="3"/>
    <n v="1.77"/>
  </r>
  <r>
    <x v="6"/>
    <x v="1"/>
    <n v="302001"/>
    <x v="8"/>
    <x v="3"/>
    <n v="0.86"/>
  </r>
  <r>
    <x v="6"/>
    <x v="1"/>
    <n v="226001"/>
    <x v="9"/>
    <x v="3"/>
    <n v="0.85"/>
  </r>
  <r>
    <x v="6"/>
    <x v="1"/>
    <n v="800008"/>
    <x v="10"/>
    <x v="3"/>
    <n v="0.73"/>
  </r>
  <r>
    <x v="6"/>
    <x v="1"/>
    <n v="641001"/>
    <x v="11"/>
    <x v="3"/>
    <n v="0.81"/>
  </r>
  <r>
    <x v="6"/>
    <x v="1"/>
    <n v="160017"/>
    <x v="12"/>
    <x v="3"/>
    <n v="0.44"/>
  </r>
  <r>
    <x v="6"/>
    <x v="1"/>
    <n v="122001"/>
    <x v="13"/>
    <x v="3"/>
    <n v="0.28000000000000003"/>
  </r>
  <r>
    <x v="6"/>
    <x v="1"/>
    <n v="492001"/>
    <x v="14"/>
    <x v="3"/>
    <n v="0.21"/>
  </r>
  <r>
    <x v="7"/>
    <x v="1"/>
    <n v="400001"/>
    <x v="0"/>
    <x v="3"/>
    <n v="3.09"/>
  </r>
  <r>
    <x v="7"/>
    <x v="1"/>
    <n v="110001"/>
    <x v="1"/>
    <x v="3"/>
    <n v="2.84"/>
  </r>
  <r>
    <x v="7"/>
    <x v="1"/>
    <n v="700001"/>
    <x v="2"/>
    <x v="3"/>
    <n v="2.25"/>
  </r>
  <r>
    <x v="7"/>
    <x v="1"/>
    <n v="560001"/>
    <x v="3"/>
    <x v="3"/>
    <n v="2.37"/>
  </r>
  <r>
    <x v="7"/>
    <x v="1"/>
    <n v="600001"/>
    <x v="4"/>
    <x v="3"/>
    <n v="1.7"/>
  </r>
  <r>
    <x v="7"/>
    <x v="1"/>
    <n v="500001"/>
    <x v="5"/>
    <x v="3"/>
    <n v="1.31"/>
  </r>
  <r>
    <x v="7"/>
    <x v="1"/>
    <n v="411001"/>
    <x v="6"/>
    <x v="3"/>
    <n v="2.35"/>
  </r>
  <r>
    <x v="7"/>
    <x v="1"/>
    <n v="380001"/>
    <x v="7"/>
    <x v="3"/>
    <n v="1.3"/>
  </r>
  <r>
    <x v="7"/>
    <x v="1"/>
    <n v="302001"/>
    <x v="8"/>
    <x v="3"/>
    <n v="0.9"/>
  </r>
  <r>
    <x v="7"/>
    <x v="1"/>
    <n v="226001"/>
    <x v="9"/>
    <x v="3"/>
    <n v="0.74"/>
  </r>
  <r>
    <x v="7"/>
    <x v="1"/>
    <n v="800008"/>
    <x v="10"/>
    <x v="3"/>
    <n v="0.68"/>
  </r>
  <r>
    <x v="7"/>
    <x v="1"/>
    <n v="641001"/>
    <x v="11"/>
    <x v="3"/>
    <n v="0.56999999999999995"/>
  </r>
  <r>
    <x v="7"/>
    <x v="1"/>
    <n v="160017"/>
    <x v="12"/>
    <x v="3"/>
    <n v="0.5"/>
  </r>
  <r>
    <x v="7"/>
    <x v="1"/>
    <n v="122001"/>
    <x v="13"/>
    <x v="3"/>
    <n v="0.33"/>
  </r>
  <r>
    <x v="7"/>
    <x v="1"/>
    <n v="492001"/>
    <x v="14"/>
    <x v="3"/>
    <n v="0.24"/>
  </r>
  <r>
    <x v="0"/>
    <x v="0"/>
    <n v="400001"/>
    <x v="0"/>
    <x v="4"/>
    <n v="3.13"/>
  </r>
  <r>
    <x v="0"/>
    <x v="0"/>
    <n v="110001"/>
    <x v="1"/>
    <x v="4"/>
    <n v="2.86"/>
  </r>
  <r>
    <x v="0"/>
    <x v="0"/>
    <n v="700001"/>
    <x v="2"/>
    <x v="4"/>
    <n v="2.77"/>
  </r>
  <r>
    <x v="0"/>
    <x v="0"/>
    <n v="560001"/>
    <x v="3"/>
    <x v="4"/>
    <n v="2.13"/>
  </r>
  <r>
    <x v="0"/>
    <x v="0"/>
    <n v="600001"/>
    <x v="4"/>
    <x v="4"/>
    <n v="1.85"/>
  </r>
  <r>
    <x v="0"/>
    <x v="0"/>
    <n v="500001"/>
    <x v="5"/>
    <x v="4"/>
    <n v="1.59"/>
  </r>
  <r>
    <x v="0"/>
    <x v="0"/>
    <n v="411001"/>
    <x v="6"/>
    <x v="4"/>
    <n v="1.32"/>
  </r>
  <r>
    <x v="0"/>
    <x v="0"/>
    <n v="380001"/>
    <x v="7"/>
    <x v="4"/>
    <n v="1.37"/>
  </r>
  <r>
    <x v="0"/>
    <x v="0"/>
    <n v="302001"/>
    <x v="8"/>
    <x v="4"/>
    <n v="1.3"/>
  </r>
  <r>
    <x v="0"/>
    <x v="0"/>
    <n v="226001"/>
    <x v="9"/>
    <x v="4"/>
    <n v="0.8"/>
  </r>
  <r>
    <x v="0"/>
    <x v="0"/>
    <n v="800008"/>
    <x v="10"/>
    <x v="4"/>
    <n v="1"/>
  </r>
  <r>
    <x v="0"/>
    <x v="0"/>
    <n v="641001"/>
    <x v="11"/>
    <x v="4"/>
    <n v="0.45"/>
  </r>
  <r>
    <x v="0"/>
    <x v="0"/>
    <n v="160017"/>
    <x v="12"/>
    <x v="4"/>
    <n v="0.41"/>
  </r>
  <r>
    <x v="0"/>
    <x v="0"/>
    <n v="122001"/>
    <x v="13"/>
    <x v="4"/>
    <n v="0.31"/>
  </r>
  <r>
    <x v="0"/>
    <x v="0"/>
    <n v="492001"/>
    <x v="14"/>
    <x v="4"/>
    <n v="0.26"/>
  </r>
  <r>
    <x v="1"/>
    <x v="0"/>
    <n v="400001"/>
    <x v="0"/>
    <x v="4"/>
    <n v="4.03"/>
  </r>
  <r>
    <x v="1"/>
    <x v="0"/>
    <n v="110001"/>
    <x v="1"/>
    <x v="4"/>
    <n v="2.8"/>
  </r>
  <r>
    <x v="1"/>
    <x v="0"/>
    <n v="700001"/>
    <x v="2"/>
    <x v="4"/>
    <n v="3.06"/>
  </r>
  <r>
    <x v="1"/>
    <x v="0"/>
    <n v="560001"/>
    <x v="3"/>
    <x v="4"/>
    <n v="3.35"/>
  </r>
  <r>
    <x v="1"/>
    <x v="0"/>
    <n v="600001"/>
    <x v="4"/>
    <x v="4"/>
    <n v="4.47"/>
  </r>
  <r>
    <x v="1"/>
    <x v="0"/>
    <n v="500001"/>
    <x v="5"/>
    <x v="4"/>
    <n v="2.31"/>
  </r>
  <r>
    <x v="1"/>
    <x v="0"/>
    <n v="411001"/>
    <x v="6"/>
    <x v="4"/>
    <n v="1.97"/>
  </r>
  <r>
    <x v="1"/>
    <x v="0"/>
    <n v="380001"/>
    <x v="7"/>
    <x v="4"/>
    <n v="1.26"/>
  </r>
  <r>
    <x v="1"/>
    <x v="0"/>
    <n v="302001"/>
    <x v="8"/>
    <x v="4"/>
    <n v="0.86"/>
  </r>
  <r>
    <x v="1"/>
    <x v="0"/>
    <n v="226001"/>
    <x v="9"/>
    <x v="4"/>
    <n v="1.86"/>
  </r>
  <r>
    <x v="1"/>
    <x v="0"/>
    <n v="800008"/>
    <x v="10"/>
    <x v="4"/>
    <n v="0.76"/>
  </r>
  <r>
    <x v="1"/>
    <x v="0"/>
    <n v="641001"/>
    <x v="11"/>
    <x v="4"/>
    <n v="0.66"/>
  </r>
  <r>
    <x v="1"/>
    <x v="0"/>
    <n v="160017"/>
    <x v="12"/>
    <x v="4"/>
    <n v="0.34"/>
  </r>
  <r>
    <x v="1"/>
    <x v="0"/>
    <n v="122001"/>
    <x v="13"/>
    <x v="4"/>
    <n v="0.5"/>
  </r>
  <r>
    <x v="1"/>
    <x v="0"/>
    <n v="492001"/>
    <x v="14"/>
    <x v="4"/>
    <n v="0.3"/>
  </r>
  <r>
    <x v="2"/>
    <x v="0"/>
    <n v="400001"/>
    <x v="0"/>
    <x v="4"/>
    <n v="3.29"/>
  </r>
  <r>
    <x v="2"/>
    <x v="0"/>
    <n v="110001"/>
    <x v="1"/>
    <x v="4"/>
    <n v="3.25"/>
  </r>
  <r>
    <x v="2"/>
    <x v="0"/>
    <n v="700001"/>
    <x v="2"/>
    <x v="4"/>
    <n v="4.21"/>
  </r>
  <r>
    <x v="2"/>
    <x v="0"/>
    <n v="560001"/>
    <x v="3"/>
    <x v="4"/>
    <n v="2.8"/>
  </r>
  <r>
    <x v="2"/>
    <x v="0"/>
    <n v="600001"/>
    <x v="4"/>
    <x v="4"/>
    <n v="1.67"/>
  </r>
  <r>
    <x v="2"/>
    <x v="0"/>
    <n v="500001"/>
    <x v="5"/>
    <x v="4"/>
    <n v="1.83"/>
  </r>
  <r>
    <x v="2"/>
    <x v="0"/>
    <n v="411001"/>
    <x v="6"/>
    <x v="4"/>
    <n v="2.2000000000000002"/>
  </r>
  <r>
    <x v="2"/>
    <x v="0"/>
    <n v="380001"/>
    <x v="7"/>
    <x v="4"/>
    <n v="1.64"/>
  </r>
  <r>
    <x v="2"/>
    <x v="0"/>
    <n v="302001"/>
    <x v="8"/>
    <x v="4"/>
    <n v="1.05"/>
  </r>
  <r>
    <x v="2"/>
    <x v="0"/>
    <n v="226001"/>
    <x v="9"/>
    <x v="4"/>
    <n v="0.85"/>
  </r>
  <r>
    <x v="2"/>
    <x v="0"/>
    <n v="800008"/>
    <x v="10"/>
    <x v="4"/>
    <n v="0.62"/>
  </r>
  <r>
    <x v="2"/>
    <x v="0"/>
    <n v="641001"/>
    <x v="11"/>
    <x v="4"/>
    <n v="1.25"/>
  </r>
  <r>
    <x v="2"/>
    <x v="0"/>
    <n v="160017"/>
    <x v="12"/>
    <x v="4"/>
    <n v="0.56999999999999995"/>
  </r>
  <r>
    <x v="2"/>
    <x v="0"/>
    <n v="122001"/>
    <x v="13"/>
    <x v="4"/>
    <n v="0.36"/>
  </r>
  <r>
    <x v="2"/>
    <x v="0"/>
    <n v="492001"/>
    <x v="14"/>
    <x v="4"/>
    <n v="0.24"/>
  </r>
  <r>
    <x v="3"/>
    <x v="0"/>
    <n v="400001"/>
    <x v="0"/>
    <x v="4"/>
    <n v="3.22"/>
  </r>
  <r>
    <x v="3"/>
    <x v="0"/>
    <n v="110001"/>
    <x v="1"/>
    <x v="4"/>
    <n v="2.6"/>
  </r>
  <r>
    <x v="3"/>
    <x v="0"/>
    <n v="700001"/>
    <x v="2"/>
    <x v="4"/>
    <n v="2.76"/>
  </r>
  <r>
    <x v="3"/>
    <x v="0"/>
    <n v="560001"/>
    <x v="3"/>
    <x v="4"/>
    <n v="3.02"/>
  </r>
  <r>
    <x v="3"/>
    <x v="0"/>
    <n v="600001"/>
    <x v="4"/>
    <x v="4"/>
    <n v="2.33"/>
  </r>
  <r>
    <x v="3"/>
    <x v="0"/>
    <n v="500001"/>
    <x v="5"/>
    <x v="4"/>
    <n v="1.35"/>
  </r>
  <r>
    <x v="3"/>
    <x v="0"/>
    <n v="411001"/>
    <x v="6"/>
    <x v="4"/>
    <n v="3.41"/>
  </r>
  <r>
    <x v="3"/>
    <x v="0"/>
    <n v="380001"/>
    <x v="7"/>
    <x v="4"/>
    <n v="1.59"/>
  </r>
  <r>
    <x v="3"/>
    <x v="0"/>
    <n v="302001"/>
    <x v="8"/>
    <x v="4"/>
    <n v="0.84"/>
  </r>
  <r>
    <x v="3"/>
    <x v="0"/>
    <n v="226001"/>
    <x v="9"/>
    <x v="4"/>
    <n v="0.85"/>
  </r>
  <r>
    <x v="3"/>
    <x v="0"/>
    <n v="800008"/>
    <x v="10"/>
    <x v="4"/>
    <n v="0.78"/>
  </r>
  <r>
    <x v="3"/>
    <x v="0"/>
    <n v="641001"/>
    <x v="11"/>
    <x v="4"/>
    <n v="0.56999999999999995"/>
  </r>
  <r>
    <x v="3"/>
    <x v="0"/>
    <n v="160017"/>
    <x v="12"/>
    <x v="4"/>
    <n v="0.65"/>
  </r>
  <r>
    <x v="3"/>
    <x v="0"/>
    <n v="122001"/>
    <x v="13"/>
    <x v="4"/>
    <n v="0.34"/>
  </r>
  <r>
    <x v="3"/>
    <x v="0"/>
    <n v="492001"/>
    <x v="14"/>
    <x v="4"/>
    <n v="0.24"/>
  </r>
  <r>
    <x v="4"/>
    <x v="1"/>
    <n v="400001"/>
    <x v="0"/>
    <x v="4"/>
    <n v="2.85"/>
  </r>
  <r>
    <x v="4"/>
    <x v="1"/>
    <n v="110001"/>
    <x v="1"/>
    <x v="4"/>
    <n v="1.62"/>
  </r>
  <r>
    <x v="4"/>
    <x v="1"/>
    <n v="700001"/>
    <x v="2"/>
    <x v="4"/>
    <n v="1.34"/>
  </r>
  <r>
    <x v="4"/>
    <x v="1"/>
    <n v="560001"/>
    <x v="3"/>
    <x v="4"/>
    <n v="1.77"/>
  </r>
  <r>
    <x v="4"/>
    <x v="1"/>
    <n v="600001"/>
    <x v="4"/>
    <x v="4"/>
    <n v="1.32"/>
  </r>
  <r>
    <x v="4"/>
    <x v="1"/>
    <n v="500001"/>
    <x v="5"/>
    <x v="4"/>
    <n v="1.21"/>
  </r>
  <r>
    <x v="4"/>
    <x v="1"/>
    <n v="411001"/>
    <x v="6"/>
    <x v="4"/>
    <n v="0.81"/>
  </r>
  <r>
    <x v="4"/>
    <x v="1"/>
    <n v="380001"/>
    <x v="7"/>
    <x v="4"/>
    <n v="0.81"/>
  </r>
  <r>
    <x v="4"/>
    <x v="1"/>
    <n v="302001"/>
    <x v="8"/>
    <x v="4"/>
    <n v="0.73"/>
  </r>
  <r>
    <x v="4"/>
    <x v="1"/>
    <n v="226001"/>
    <x v="9"/>
    <x v="4"/>
    <n v="0.41"/>
  </r>
  <r>
    <x v="4"/>
    <x v="1"/>
    <n v="800008"/>
    <x v="10"/>
    <x v="4"/>
    <n v="0.59"/>
  </r>
  <r>
    <x v="4"/>
    <x v="1"/>
    <n v="641001"/>
    <x v="11"/>
    <x v="4"/>
    <n v="0.33"/>
  </r>
  <r>
    <x v="4"/>
    <x v="1"/>
    <n v="160017"/>
    <x v="12"/>
    <x v="4"/>
    <n v="0.22"/>
  </r>
  <r>
    <x v="4"/>
    <x v="1"/>
    <n v="122001"/>
    <x v="13"/>
    <x v="4"/>
    <n v="0.2"/>
  </r>
  <r>
    <x v="4"/>
    <x v="1"/>
    <n v="492001"/>
    <x v="14"/>
    <x v="4"/>
    <n v="0.19"/>
  </r>
  <r>
    <x v="5"/>
    <x v="1"/>
    <n v="400001"/>
    <x v="0"/>
    <x v="4"/>
    <n v="2.9"/>
  </r>
  <r>
    <x v="5"/>
    <x v="1"/>
    <n v="110001"/>
    <x v="1"/>
    <x v="4"/>
    <n v="2.08"/>
  </r>
  <r>
    <x v="5"/>
    <x v="1"/>
    <n v="700001"/>
    <x v="2"/>
    <x v="4"/>
    <n v="1.5"/>
  </r>
  <r>
    <x v="5"/>
    <x v="1"/>
    <n v="560001"/>
    <x v="3"/>
    <x v="4"/>
    <n v="1.46"/>
  </r>
  <r>
    <x v="5"/>
    <x v="1"/>
    <n v="600001"/>
    <x v="4"/>
    <x v="4"/>
    <n v="2.21"/>
  </r>
  <r>
    <x v="5"/>
    <x v="1"/>
    <n v="500001"/>
    <x v="5"/>
    <x v="4"/>
    <n v="1.63"/>
  </r>
  <r>
    <x v="5"/>
    <x v="1"/>
    <n v="411001"/>
    <x v="6"/>
    <x v="4"/>
    <n v="1.22"/>
  </r>
  <r>
    <x v="5"/>
    <x v="1"/>
    <n v="380001"/>
    <x v="7"/>
    <x v="4"/>
    <n v="0.71"/>
  </r>
  <r>
    <x v="5"/>
    <x v="1"/>
    <n v="302001"/>
    <x v="8"/>
    <x v="4"/>
    <n v="0.66"/>
  </r>
  <r>
    <x v="5"/>
    <x v="1"/>
    <n v="226001"/>
    <x v="9"/>
    <x v="4"/>
    <n v="1.0900000000000001"/>
  </r>
  <r>
    <x v="5"/>
    <x v="1"/>
    <n v="800008"/>
    <x v="10"/>
    <x v="4"/>
    <n v="0.44"/>
  </r>
  <r>
    <x v="5"/>
    <x v="1"/>
    <n v="641001"/>
    <x v="11"/>
    <x v="4"/>
    <n v="0.42"/>
  </r>
  <r>
    <x v="5"/>
    <x v="1"/>
    <n v="160017"/>
    <x v="12"/>
    <x v="4"/>
    <n v="0.27"/>
  </r>
  <r>
    <x v="5"/>
    <x v="1"/>
    <n v="122001"/>
    <x v="13"/>
    <x v="4"/>
    <n v="0.4"/>
  </r>
  <r>
    <x v="5"/>
    <x v="1"/>
    <n v="492001"/>
    <x v="14"/>
    <x v="4"/>
    <n v="0.21"/>
  </r>
  <r>
    <x v="6"/>
    <x v="1"/>
    <n v="400001"/>
    <x v="0"/>
    <x v="4"/>
    <n v="2.63"/>
  </r>
  <r>
    <x v="6"/>
    <x v="1"/>
    <n v="110001"/>
    <x v="1"/>
    <x v="4"/>
    <n v="2.06"/>
  </r>
  <r>
    <x v="6"/>
    <x v="1"/>
    <n v="700001"/>
    <x v="2"/>
    <x v="4"/>
    <n v="2.73"/>
  </r>
  <r>
    <x v="6"/>
    <x v="1"/>
    <n v="560001"/>
    <x v="3"/>
    <x v="4"/>
    <n v="1.83"/>
  </r>
  <r>
    <x v="6"/>
    <x v="1"/>
    <n v="600001"/>
    <x v="4"/>
    <x v="4"/>
    <n v="1.33"/>
  </r>
  <r>
    <x v="6"/>
    <x v="1"/>
    <n v="500001"/>
    <x v="5"/>
    <x v="4"/>
    <n v="1.44"/>
  </r>
  <r>
    <x v="6"/>
    <x v="1"/>
    <n v="411001"/>
    <x v="6"/>
    <x v="4"/>
    <n v="1.02"/>
  </r>
  <r>
    <x v="6"/>
    <x v="1"/>
    <n v="380001"/>
    <x v="7"/>
    <x v="4"/>
    <n v="1.44"/>
  </r>
  <r>
    <x v="6"/>
    <x v="1"/>
    <n v="302001"/>
    <x v="8"/>
    <x v="4"/>
    <n v="0.73"/>
  </r>
  <r>
    <x v="6"/>
    <x v="1"/>
    <n v="226001"/>
    <x v="9"/>
    <x v="4"/>
    <n v="0.73"/>
  </r>
  <r>
    <x v="6"/>
    <x v="1"/>
    <n v="800008"/>
    <x v="10"/>
    <x v="4"/>
    <n v="0.51"/>
  </r>
  <r>
    <x v="6"/>
    <x v="1"/>
    <n v="641001"/>
    <x v="11"/>
    <x v="4"/>
    <n v="0.75"/>
  </r>
  <r>
    <x v="6"/>
    <x v="1"/>
    <n v="160017"/>
    <x v="12"/>
    <x v="4"/>
    <n v="0.27"/>
  </r>
  <r>
    <x v="6"/>
    <x v="1"/>
    <n v="122001"/>
    <x v="13"/>
    <x v="4"/>
    <n v="0.28000000000000003"/>
  </r>
  <r>
    <x v="6"/>
    <x v="1"/>
    <n v="492001"/>
    <x v="14"/>
    <x v="4"/>
    <n v="0.13"/>
  </r>
  <r>
    <x v="7"/>
    <x v="1"/>
    <n v="400001"/>
    <x v="0"/>
    <x v="4"/>
    <n v="2.61"/>
  </r>
  <r>
    <x v="7"/>
    <x v="1"/>
    <n v="110001"/>
    <x v="1"/>
    <x v="4"/>
    <n v="2.0299999999999998"/>
  </r>
  <r>
    <x v="7"/>
    <x v="1"/>
    <n v="700001"/>
    <x v="2"/>
    <x v="4"/>
    <n v="1.73"/>
  </r>
  <r>
    <x v="7"/>
    <x v="1"/>
    <n v="560001"/>
    <x v="3"/>
    <x v="4"/>
    <n v="1.33"/>
  </r>
  <r>
    <x v="7"/>
    <x v="1"/>
    <n v="600001"/>
    <x v="4"/>
    <x v="4"/>
    <n v="1.24"/>
  </r>
  <r>
    <x v="7"/>
    <x v="1"/>
    <n v="500001"/>
    <x v="5"/>
    <x v="4"/>
    <n v="0.94"/>
  </r>
  <r>
    <x v="7"/>
    <x v="1"/>
    <n v="411001"/>
    <x v="6"/>
    <x v="4"/>
    <n v="1.63"/>
  </r>
  <r>
    <x v="7"/>
    <x v="1"/>
    <n v="380001"/>
    <x v="7"/>
    <x v="4"/>
    <n v="0.87"/>
  </r>
  <r>
    <x v="7"/>
    <x v="1"/>
    <n v="302001"/>
    <x v="8"/>
    <x v="4"/>
    <n v="0.77"/>
  </r>
  <r>
    <x v="7"/>
    <x v="1"/>
    <n v="226001"/>
    <x v="9"/>
    <x v="4"/>
    <n v="0.56999999999999995"/>
  </r>
  <r>
    <x v="7"/>
    <x v="1"/>
    <n v="800008"/>
    <x v="10"/>
    <x v="4"/>
    <n v="0.57999999999999996"/>
  </r>
  <r>
    <x v="7"/>
    <x v="1"/>
    <n v="641001"/>
    <x v="11"/>
    <x v="4"/>
    <n v="0.43"/>
  </r>
  <r>
    <x v="7"/>
    <x v="1"/>
    <n v="160017"/>
    <x v="12"/>
    <x v="4"/>
    <n v="0.5"/>
  </r>
  <r>
    <x v="7"/>
    <x v="1"/>
    <n v="122001"/>
    <x v="13"/>
    <x v="4"/>
    <n v="0.26"/>
  </r>
  <r>
    <x v="7"/>
    <x v="1"/>
    <n v="492001"/>
    <x v="14"/>
    <x v="4"/>
    <n v="0.18"/>
  </r>
  <r>
    <x v="0"/>
    <x v="0"/>
    <n v="400001"/>
    <x v="0"/>
    <x v="5"/>
    <n v="2.2599999999999998"/>
  </r>
  <r>
    <x v="0"/>
    <x v="0"/>
    <n v="110001"/>
    <x v="1"/>
    <x v="5"/>
    <n v="2"/>
  </r>
  <r>
    <x v="0"/>
    <x v="0"/>
    <n v="700001"/>
    <x v="2"/>
    <x v="5"/>
    <n v="1.94"/>
  </r>
  <r>
    <x v="0"/>
    <x v="0"/>
    <n v="560001"/>
    <x v="3"/>
    <x v="5"/>
    <n v="1.88"/>
  </r>
  <r>
    <x v="0"/>
    <x v="0"/>
    <n v="600001"/>
    <x v="4"/>
    <x v="5"/>
    <n v="1.56"/>
  </r>
  <r>
    <x v="0"/>
    <x v="0"/>
    <n v="500001"/>
    <x v="5"/>
    <x v="5"/>
    <n v="1.34"/>
  </r>
  <r>
    <x v="0"/>
    <x v="0"/>
    <n v="411001"/>
    <x v="6"/>
    <x v="5"/>
    <n v="0.95"/>
  </r>
  <r>
    <x v="0"/>
    <x v="0"/>
    <n v="380001"/>
    <x v="7"/>
    <x v="5"/>
    <n v="1.17"/>
  </r>
  <r>
    <x v="0"/>
    <x v="0"/>
    <n v="302001"/>
    <x v="8"/>
    <x v="5"/>
    <n v="1.03"/>
  </r>
  <r>
    <x v="0"/>
    <x v="0"/>
    <n v="226001"/>
    <x v="9"/>
    <x v="5"/>
    <n v="0.67"/>
  </r>
  <r>
    <x v="0"/>
    <x v="0"/>
    <n v="800008"/>
    <x v="10"/>
    <x v="5"/>
    <n v="0.9"/>
  </r>
  <r>
    <x v="0"/>
    <x v="0"/>
    <n v="641001"/>
    <x v="11"/>
    <x v="5"/>
    <n v="0.34"/>
  </r>
  <r>
    <x v="0"/>
    <x v="0"/>
    <n v="160017"/>
    <x v="12"/>
    <x v="5"/>
    <n v="0.26"/>
  </r>
  <r>
    <x v="0"/>
    <x v="0"/>
    <n v="122001"/>
    <x v="13"/>
    <x v="5"/>
    <n v="0.2"/>
  </r>
  <r>
    <x v="0"/>
    <x v="0"/>
    <n v="492001"/>
    <x v="14"/>
    <x v="5"/>
    <n v="0.19"/>
  </r>
  <r>
    <x v="1"/>
    <x v="0"/>
    <n v="400001"/>
    <x v="0"/>
    <x v="5"/>
    <n v="2.62"/>
  </r>
  <r>
    <x v="1"/>
    <x v="0"/>
    <n v="110001"/>
    <x v="1"/>
    <x v="5"/>
    <n v="2.14"/>
  </r>
  <r>
    <x v="1"/>
    <x v="0"/>
    <n v="700001"/>
    <x v="2"/>
    <x v="5"/>
    <n v="1.99"/>
  </r>
  <r>
    <x v="1"/>
    <x v="0"/>
    <n v="560001"/>
    <x v="3"/>
    <x v="5"/>
    <n v="2.65"/>
  </r>
  <r>
    <x v="1"/>
    <x v="0"/>
    <n v="600001"/>
    <x v="4"/>
    <x v="5"/>
    <n v="2.5499999999999998"/>
  </r>
  <r>
    <x v="1"/>
    <x v="0"/>
    <n v="500001"/>
    <x v="5"/>
    <x v="5"/>
    <n v="1.5"/>
  </r>
  <r>
    <x v="1"/>
    <x v="0"/>
    <n v="411001"/>
    <x v="6"/>
    <x v="5"/>
    <n v="1.28"/>
  </r>
  <r>
    <x v="1"/>
    <x v="0"/>
    <n v="380001"/>
    <x v="7"/>
    <x v="5"/>
    <n v="0.9"/>
  </r>
  <r>
    <x v="1"/>
    <x v="0"/>
    <n v="302001"/>
    <x v="8"/>
    <x v="5"/>
    <n v="0.69"/>
  </r>
  <r>
    <x v="1"/>
    <x v="0"/>
    <n v="226001"/>
    <x v="9"/>
    <x v="5"/>
    <n v="1.49"/>
  </r>
  <r>
    <x v="1"/>
    <x v="0"/>
    <n v="800008"/>
    <x v="10"/>
    <x v="5"/>
    <n v="0.53"/>
  </r>
  <r>
    <x v="1"/>
    <x v="0"/>
    <n v="641001"/>
    <x v="11"/>
    <x v="5"/>
    <n v="0.52"/>
  </r>
  <r>
    <x v="1"/>
    <x v="0"/>
    <n v="160017"/>
    <x v="12"/>
    <x v="5"/>
    <n v="0.27"/>
  </r>
  <r>
    <x v="1"/>
    <x v="0"/>
    <n v="122001"/>
    <x v="13"/>
    <x v="5"/>
    <n v="0.34"/>
  </r>
  <r>
    <x v="1"/>
    <x v="0"/>
    <n v="492001"/>
    <x v="14"/>
    <x v="5"/>
    <n v="0.22"/>
  </r>
  <r>
    <x v="2"/>
    <x v="0"/>
    <n v="400001"/>
    <x v="0"/>
    <x v="5"/>
    <n v="2.74"/>
  </r>
  <r>
    <x v="2"/>
    <x v="0"/>
    <n v="110001"/>
    <x v="1"/>
    <x v="5"/>
    <n v="1.95"/>
  </r>
  <r>
    <x v="2"/>
    <x v="0"/>
    <n v="700001"/>
    <x v="2"/>
    <x v="5"/>
    <n v="3.55"/>
  </r>
  <r>
    <x v="2"/>
    <x v="0"/>
    <n v="560001"/>
    <x v="3"/>
    <x v="5"/>
    <n v="2.02"/>
  </r>
  <r>
    <x v="2"/>
    <x v="0"/>
    <n v="600001"/>
    <x v="4"/>
    <x v="5"/>
    <n v="1.39"/>
  </r>
  <r>
    <x v="2"/>
    <x v="0"/>
    <n v="500001"/>
    <x v="5"/>
    <x v="5"/>
    <n v="1.64"/>
  </r>
  <r>
    <x v="2"/>
    <x v="0"/>
    <n v="411001"/>
    <x v="6"/>
    <x v="5"/>
    <n v="1.43"/>
  </r>
  <r>
    <x v="2"/>
    <x v="0"/>
    <n v="380001"/>
    <x v="7"/>
    <x v="5"/>
    <n v="1.64"/>
  </r>
  <r>
    <x v="2"/>
    <x v="0"/>
    <n v="302001"/>
    <x v="8"/>
    <x v="5"/>
    <n v="0.68"/>
  </r>
  <r>
    <x v="2"/>
    <x v="0"/>
    <n v="226001"/>
    <x v="9"/>
    <x v="5"/>
    <n v="0.8"/>
  </r>
  <r>
    <x v="2"/>
    <x v="0"/>
    <n v="800008"/>
    <x v="10"/>
    <x v="5"/>
    <n v="0.37"/>
  </r>
  <r>
    <x v="2"/>
    <x v="0"/>
    <n v="641001"/>
    <x v="11"/>
    <x v="5"/>
    <n v="0.77"/>
  </r>
  <r>
    <x v="2"/>
    <x v="0"/>
    <n v="160017"/>
    <x v="12"/>
    <x v="5"/>
    <n v="0.43"/>
  </r>
  <r>
    <x v="2"/>
    <x v="0"/>
    <n v="122001"/>
    <x v="13"/>
    <x v="5"/>
    <n v="0.25"/>
  </r>
  <r>
    <x v="2"/>
    <x v="0"/>
    <n v="492001"/>
    <x v="14"/>
    <x v="5"/>
    <n v="0.19"/>
  </r>
  <r>
    <x v="3"/>
    <x v="0"/>
    <n v="400001"/>
    <x v="0"/>
    <x v="5"/>
    <n v="2.72"/>
  </r>
  <r>
    <x v="3"/>
    <x v="0"/>
    <n v="110001"/>
    <x v="1"/>
    <x v="5"/>
    <n v="1.64"/>
  </r>
  <r>
    <x v="3"/>
    <x v="0"/>
    <n v="700001"/>
    <x v="2"/>
    <x v="5"/>
    <n v="2.33"/>
  </r>
  <r>
    <x v="3"/>
    <x v="0"/>
    <n v="560001"/>
    <x v="3"/>
    <x v="5"/>
    <n v="2.56"/>
  </r>
  <r>
    <x v="3"/>
    <x v="0"/>
    <n v="600001"/>
    <x v="4"/>
    <x v="5"/>
    <n v="1.84"/>
  </r>
  <r>
    <x v="3"/>
    <x v="0"/>
    <n v="500001"/>
    <x v="5"/>
    <x v="5"/>
    <n v="1.03"/>
  </r>
  <r>
    <x v="3"/>
    <x v="0"/>
    <n v="411001"/>
    <x v="6"/>
    <x v="5"/>
    <n v="1.95"/>
  </r>
  <r>
    <x v="3"/>
    <x v="0"/>
    <n v="380001"/>
    <x v="7"/>
    <x v="5"/>
    <n v="1.33"/>
  </r>
  <r>
    <x v="3"/>
    <x v="0"/>
    <n v="302001"/>
    <x v="8"/>
    <x v="5"/>
    <n v="0.7"/>
  </r>
  <r>
    <x v="3"/>
    <x v="0"/>
    <n v="226001"/>
    <x v="9"/>
    <x v="5"/>
    <n v="0.72"/>
  </r>
  <r>
    <x v="3"/>
    <x v="0"/>
    <n v="800008"/>
    <x v="10"/>
    <x v="5"/>
    <n v="0.51"/>
  </r>
  <r>
    <x v="3"/>
    <x v="0"/>
    <n v="641001"/>
    <x v="11"/>
    <x v="5"/>
    <n v="0.41"/>
  </r>
  <r>
    <x v="3"/>
    <x v="0"/>
    <n v="160017"/>
    <x v="12"/>
    <x v="5"/>
    <n v="0.5"/>
  </r>
  <r>
    <x v="3"/>
    <x v="0"/>
    <n v="122001"/>
    <x v="13"/>
    <x v="5"/>
    <n v="0.22"/>
  </r>
  <r>
    <x v="3"/>
    <x v="0"/>
    <n v="492001"/>
    <x v="14"/>
    <x v="5"/>
    <n v="0.22"/>
  </r>
  <r>
    <x v="4"/>
    <x v="1"/>
    <n v="400001"/>
    <x v="0"/>
    <x v="5"/>
    <n v="1.81"/>
  </r>
  <r>
    <x v="4"/>
    <x v="1"/>
    <n v="110001"/>
    <x v="1"/>
    <x v="5"/>
    <n v="1.18"/>
  </r>
  <r>
    <x v="4"/>
    <x v="1"/>
    <n v="700001"/>
    <x v="2"/>
    <x v="5"/>
    <n v="1.07"/>
  </r>
  <r>
    <x v="4"/>
    <x v="1"/>
    <n v="560001"/>
    <x v="3"/>
    <x v="5"/>
    <n v="1.29"/>
  </r>
  <r>
    <x v="4"/>
    <x v="1"/>
    <n v="600001"/>
    <x v="4"/>
    <x v="5"/>
    <n v="1.06"/>
  </r>
  <r>
    <x v="4"/>
    <x v="1"/>
    <n v="500001"/>
    <x v="5"/>
    <x v="5"/>
    <n v="0.99"/>
  </r>
  <r>
    <x v="4"/>
    <x v="1"/>
    <n v="411001"/>
    <x v="6"/>
    <x v="5"/>
    <n v="0.63"/>
  </r>
  <r>
    <x v="4"/>
    <x v="1"/>
    <n v="380001"/>
    <x v="7"/>
    <x v="5"/>
    <n v="0.73"/>
  </r>
  <r>
    <x v="4"/>
    <x v="1"/>
    <n v="302001"/>
    <x v="8"/>
    <x v="5"/>
    <n v="0.65"/>
  </r>
  <r>
    <x v="4"/>
    <x v="1"/>
    <n v="226001"/>
    <x v="9"/>
    <x v="5"/>
    <n v="0.28999999999999998"/>
  </r>
  <r>
    <x v="4"/>
    <x v="1"/>
    <n v="800008"/>
    <x v="10"/>
    <x v="5"/>
    <n v="0.52"/>
  </r>
  <r>
    <x v="4"/>
    <x v="1"/>
    <n v="641001"/>
    <x v="11"/>
    <x v="5"/>
    <n v="0.19"/>
  </r>
  <r>
    <x v="4"/>
    <x v="1"/>
    <n v="160017"/>
    <x v="12"/>
    <x v="5"/>
    <n v="0.2"/>
  </r>
  <r>
    <x v="4"/>
    <x v="1"/>
    <n v="122001"/>
    <x v="13"/>
    <x v="5"/>
    <n v="0.16"/>
  </r>
  <r>
    <x v="4"/>
    <x v="1"/>
    <n v="492001"/>
    <x v="14"/>
    <x v="5"/>
    <n v="0.15"/>
  </r>
  <r>
    <x v="5"/>
    <x v="1"/>
    <n v="400001"/>
    <x v="0"/>
    <x v="5"/>
    <n v="2.23"/>
  </r>
  <r>
    <x v="5"/>
    <x v="1"/>
    <n v="110001"/>
    <x v="1"/>
    <x v="5"/>
    <n v="1.46"/>
  </r>
  <r>
    <x v="5"/>
    <x v="1"/>
    <n v="700001"/>
    <x v="2"/>
    <x v="5"/>
    <n v="1.23"/>
  </r>
  <r>
    <x v="5"/>
    <x v="1"/>
    <n v="560001"/>
    <x v="3"/>
    <x v="5"/>
    <n v="1.46"/>
  </r>
  <r>
    <x v="5"/>
    <x v="1"/>
    <n v="600001"/>
    <x v="4"/>
    <x v="5"/>
    <n v="1.99"/>
  </r>
  <r>
    <x v="5"/>
    <x v="1"/>
    <n v="500001"/>
    <x v="5"/>
    <x v="5"/>
    <n v="1.22"/>
  </r>
  <r>
    <x v="5"/>
    <x v="1"/>
    <n v="411001"/>
    <x v="6"/>
    <x v="5"/>
    <n v="0.81"/>
  </r>
  <r>
    <x v="5"/>
    <x v="1"/>
    <n v="380001"/>
    <x v="7"/>
    <x v="5"/>
    <n v="0.56000000000000005"/>
  </r>
  <r>
    <x v="5"/>
    <x v="1"/>
    <n v="302001"/>
    <x v="8"/>
    <x v="5"/>
    <n v="0.44"/>
  </r>
  <r>
    <x v="5"/>
    <x v="1"/>
    <n v="226001"/>
    <x v="9"/>
    <x v="5"/>
    <n v="0.73"/>
  </r>
  <r>
    <x v="5"/>
    <x v="1"/>
    <n v="800008"/>
    <x v="10"/>
    <x v="5"/>
    <n v="0.4"/>
  </r>
  <r>
    <x v="5"/>
    <x v="1"/>
    <n v="641001"/>
    <x v="11"/>
    <x v="5"/>
    <n v="0.33"/>
  </r>
  <r>
    <x v="5"/>
    <x v="1"/>
    <n v="160017"/>
    <x v="12"/>
    <x v="5"/>
    <n v="0.19"/>
  </r>
  <r>
    <x v="5"/>
    <x v="1"/>
    <n v="122001"/>
    <x v="13"/>
    <x v="5"/>
    <n v="0.26"/>
  </r>
  <r>
    <x v="5"/>
    <x v="1"/>
    <n v="492001"/>
    <x v="14"/>
    <x v="5"/>
    <n v="0.17"/>
  </r>
  <r>
    <x v="6"/>
    <x v="1"/>
    <n v="400001"/>
    <x v="0"/>
    <x v="5"/>
    <n v="1.42"/>
  </r>
  <r>
    <x v="6"/>
    <x v="1"/>
    <n v="110001"/>
    <x v="1"/>
    <x v="5"/>
    <n v="1.31"/>
  </r>
  <r>
    <x v="6"/>
    <x v="1"/>
    <n v="700001"/>
    <x v="2"/>
    <x v="5"/>
    <n v="2.1800000000000002"/>
  </r>
  <r>
    <x v="6"/>
    <x v="1"/>
    <n v="560001"/>
    <x v="3"/>
    <x v="5"/>
    <n v="1.17"/>
  </r>
  <r>
    <x v="6"/>
    <x v="1"/>
    <n v="600001"/>
    <x v="4"/>
    <x v="5"/>
    <n v="0.97"/>
  </r>
  <r>
    <x v="6"/>
    <x v="1"/>
    <n v="500001"/>
    <x v="5"/>
    <x v="5"/>
    <n v="0.99"/>
  </r>
  <r>
    <x v="6"/>
    <x v="1"/>
    <n v="411001"/>
    <x v="6"/>
    <x v="5"/>
    <n v="1.02"/>
  </r>
  <r>
    <x v="6"/>
    <x v="1"/>
    <n v="380001"/>
    <x v="7"/>
    <x v="5"/>
    <n v="0.77"/>
  </r>
  <r>
    <x v="6"/>
    <x v="1"/>
    <n v="302001"/>
    <x v="8"/>
    <x v="5"/>
    <n v="0.66"/>
  </r>
  <r>
    <x v="6"/>
    <x v="1"/>
    <n v="226001"/>
    <x v="9"/>
    <x v="5"/>
    <n v="0.55000000000000004"/>
  </r>
  <r>
    <x v="6"/>
    <x v="1"/>
    <n v="800008"/>
    <x v="10"/>
    <x v="5"/>
    <n v="0.34"/>
  </r>
  <r>
    <x v="6"/>
    <x v="1"/>
    <n v="641001"/>
    <x v="11"/>
    <x v="5"/>
    <n v="0.61"/>
  </r>
  <r>
    <x v="6"/>
    <x v="1"/>
    <n v="160017"/>
    <x v="12"/>
    <x v="5"/>
    <n v="0.27"/>
  </r>
  <r>
    <x v="6"/>
    <x v="1"/>
    <n v="122001"/>
    <x v="13"/>
    <x v="5"/>
    <n v="0.16"/>
  </r>
  <r>
    <x v="6"/>
    <x v="1"/>
    <n v="492001"/>
    <x v="14"/>
    <x v="5"/>
    <n v="0.13"/>
  </r>
  <r>
    <x v="7"/>
    <x v="1"/>
    <n v="400001"/>
    <x v="0"/>
    <x v="5"/>
    <n v="1.9"/>
  </r>
  <r>
    <x v="7"/>
    <x v="1"/>
    <n v="110001"/>
    <x v="1"/>
    <x v="5"/>
    <n v="1.82"/>
  </r>
  <r>
    <x v="7"/>
    <x v="1"/>
    <n v="700001"/>
    <x v="2"/>
    <x v="5"/>
    <n v="1.56"/>
  </r>
  <r>
    <x v="7"/>
    <x v="1"/>
    <n v="560001"/>
    <x v="3"/>
    <x v="5"/>
    <n v="1.18"/>
  </r>
  <r>
    <x v="7"/>
    <x v="1"/>
    <n v="600001"/>
    <x v="4"/>
    <x v="5"/>
    <n v="0.79"/>
  </r>
  <r>
    <x v="7"/>
    <x v="1"/>
    <n v="500001"/>
    <x v="5"/>
    <x v="5"/>
    <n v="0.84"/>
  </r>
  <r>
    <x v="7"/>
    <x v="1"/>
    <n v="411001"/>
    <x v="6"/>
    <x v="5"/>
    <n v="1.27"/>
  </r>
  <r>
    <x v="7"/>
    <x v="1"/>
    <n v="380001"/>
    <x v="7"/>
    <x v="5"/>
    <n v="0.78"/>
  </r>
  <r>
    <x v="7"/>
    <x v="1"/>
    <n v="302001"/>
    <x v="8"/>
    <x v="5"/>
    <n v="0.45"/>
  </r>
  <r>
    <x v="7"/>
    <x v="1"/>
    <n v="226001"/>
    <x v="9"/>
    <x v="5"/>
    <n v="0.51"/>
  </r>
  <r>
    <x v="7"/>
    <x v="1"/>
    <n v="800008"/>
    <x v="10"/>
    <x v="5"/>
    <n v="0.39"/>
  </r>
  <r>
    <x v="7"/>
    <x v="1"/>
    <n v="641001"/>
    <x v="11"/>
    <x v="5"/>
    <n v="0.32"/>
  </r>
  <r>
    <x v="7"/>
    <x v="1"/>
    <n v="160017"/>
    <x v="12"/>
    <x v="5"/>
    <n v="0.35"/>
  </r>
  <r>
    <x v="7"/>
    <x v="1"/>
    <n v="122001"/>
    <x v="13"/>
    <x v="5"/>
    <n v="0.21"/>
  </r>
  <r>
    <x v="7"/>
    <x v="1"/>
    <n v="492001"/>
    <x v="14"/>
    <x v="5"/>
    <n v="0.14000000000000001"/>
  </r>
  <r>
    <x v="0"/>
    <x v="0"/>
    <n v="400001"/>
    <x v="0"/>
    <x v="6"/>
    <n v="1.74"/>
  </r>
  <r>
    <x v="0"/>
    <x v="0"/>
    <n v="110001"/>
    <x v="1"/>
    <x v="6"/>
    <n v="1.86"/>
  </r>
  <r>
    <x v="0"/>
    <x v="0"/>
    <n v="700001"/>
    <x v="2"/>
    <x v="6"/>
    <n v="1.25"/>
  </r>
  <r>
    <x v="0"/>
    <x v="0"/>
    <n v="560001"/>
    <x v="3"/>
    <x v="6"/>
    <n v="1.5"/>
  </r>
  <r>
    <x v="0"/>
    <x v="0"/>
    <n v="600001"/>
    <x v="4"/>
    <x v="6"/>
    <n v="0.97"/>
  </r>
  <r>
    <x v="0"/>
    <x v="0"/>
    <n v="500001"/>
    <x v="5"/>
    <x v="6"/>
    <n v="0.92"/>
  </r>
  <r>
    <x v="0"/>
    <x v="0"/>
    <n v="411001"/>
    <x v="6"/>
    <x v="6"/>
    <n v="0.81"/>
  </r>
  <r>
    <x v="0"/>
    <x v="0"/>
    <n v="380001"/>
    <x v="7"/>
    <x v="6"/>
    <n v="0.69"/>
  </r>
  <r>
    <x v="0"/>
    <x v="0"/>
    <n v="302001"/>
    <x v="8"/>
    <x v="6"/>
    <n v="0.68"/>
  </r>
  <r>
    <x v="0"/>
    <x v="0"/>
    <n v="226001"/>
    <x v="9"/>
    <x v="6"/>
    <n v="0.51"/>
  </r>
  <r>
    <x v="0"/>
    <x v="0"/>
    <n v="800008"/>
    <x v="10"/>
    <x v="6"/>
    <n v="0.48"/>
  </r>
  <r>
    <x v="0"/>
    <x v="0"/>
    <n v="641001"/>
    <x v="11"/>
    <x v="6"/>
    <n v="0.28000000000000003"/>
  </r>
  <r>
    <x v="0"/>
    <x v="0"/>
    <n v="160017"/>
    <x v="12"/>
    <x v="6"/>
    <n v="0.24"/>
  </r>
  <r>
    <x v="0"/>
    <x v="0"/>
    <n v="122001"/>
    <x v="13"/>
    <x v="6"/>
    <n v="0.19"/>
  </r>
  <r>
    <x v="0"/>
    <x v="0"/>
    <n v="492001"/>
    <x v="14"/>
    <x v="6"/>
    <n v="0.13"/>
  </r>
  <r>
    <x v="1"/>
    <x v="0"/>
    <n v="400001"/>
    <x v="0"/>
    <x v="6"/>
    <n v="1.81"/>
  </r>
  <r>
    <x v="1"/>
    <x v="0"/>
    <n v="110001"/>
    <x v="1"/>
    <x v="6"/>
    <n v="2.14"/>
  </r>
  <r>
    <x v="1"/>
    <x v="0"/>
    <n v="700001"/>
    <x v="2"/>
    <x v="6"/>
    <n v="1.68"/>
  </r>
  <r>
    <x v="1"/>
    <x v="0"/>
    <n v="560001"/>
    <x v="3"/>
    <x v="6"/>
    <n v="1.94"/>
  </r>
  <r>
    <x v="1"/>
    <x v="0"/>
    <n v="600001"/>
    <x v="4"/>
    <x v="6"/>
    <n v="2.34"/>
  </r>
  <r>
    <x v="1"/>
    <x v="0"/>
    <n v="500001"/>
    <x v="5"/>
    <x v="6"/>
    <n v="1.1599999999999999"/>
  </r>
  <r>
    <x v="1"/>
    <x v="0"/>
    <n v="411001"/>
    <x v="6"/>
    <x v="6"/>
    <n v="0.89"/>
  </r>
  <r>
    <x v="1"/>
    <x v="0"/>
    <n v="380001"/>
    <x v="7"/>
    <x v="6"/>
    <n v="0.66"/>
  </r>
  <r>
    <x v="1"/>
    <x v="0"/>
    <n v="302001"/>
    <x v="8"/>
    <x v="6"/>
    <n v="0.52"/>
  </r>
  <r>
    <x v="1"/>
    <x v="0"/>
    <n v="226001"/>
    <x v="9"/>
    <x v="6"/>
    <n v="1.1200000000000001"/>
  </r>
  <r>
    <x v="1"/>
    <x v="0"/>
    <n v="800008"/>
    <x v="10"/>
    <x v="6"/>
    <n v="0.46"/>
  </r>
  <r>
    <x v="1"/>
    <x v="0"/>
    <n v="641001"/>
    <x v="11"/>
    <x v="6"/>
    <n v="0.41"/>
  </r>
  <r>
    <x v="1"/>
    <x v="0"/>
    <n v="160017"/>
    <x v="12"/>
    <x v="6"/>
    <n v="0.2"/>
  </r>
  <r>
    <x v="1"/>
    <x v="0"/>
    <n v="122001"/>
    <x v="13"/>
    <x v="6"/>
    <n v="0.32"/>
  </r>
  <r>
    <x v="1"/>
    <x v="0"/>
    <n v="492001"/>
    <x v="14"/>
    <x v="6"/>
    <n v="0.17"/>
  </r>
  <r>
    <x v="2"/>
    <x v="0"/>
    <n v="400001"/>
    <x v="0"/>
    <x v="6"/>
    <n v="2.37"/>
  </r>
  <r>
    <x v="2"/>
    <x v="0"/>
    <n v="110001"/>
    <x v="1"/>
    <x v="6"/>
    <n v="2.11"/>
  </r>
  <r>
    <x v="2"/>
    <x v="0"/>
    <n v="700001"/>
    <x v="2"/>
    <x v="6"/>
    <n v="2.66"/>
  </r>
  <r>
    <x v="2"/>
    <x v="0"/>
    <n v="560001"/>
    <x v="3"/>
    <x v="6"/>
    <n v="1.4"/>
  </r>
  <r>
    <x v="2"/>
    <x v="0"/>
    <n v="600001"/>
    <x v="4"/>
    <x v="6"/>
    <n v="0.83"/>
  </r>
  <r>
    <x v="2"/>
    <x v="0"/>
    <n v="500001"/>
    <x v="5"/>
    <x v="6"/>
    <n v="1.1599999999999999"/>
  </r>
  <r>
    <x v="2"/>
    <x v="0"/>
    <n v="411001"/>
    <x v="6"/>
    <x v="6"/>
    <n v="1.32"/>
  </r>
  <r>
    <x v="2"/>
    <x v="0"/>
    <n v="380001"/>
    <x v="7"/>
    <x v="6"/>
    <n v="0.87"/>
  </r>
  <r>
    <x v="2"/>
    <x v="0"/>
    <n v="302001"/>
    <x v="8"/>
    <x v="6"/>
    <n v="0.68"/>
  </r>
  <r>
    <x v="2"/>
    <x v="0"/>
    <n v="226001"/>
    <x v="9"/>
    <x v="6"/>
    <n v="0.52"/>
  </r>
  <r>
    <x v="2"/>
    <x v="0"/>
    <n v="800008"/>
    <x v="10"/>
    <x v="6"/>
    <n v="0.34"/>
  </r>
  <r>
    <x v="2"/>
    <x v="0"/>
    <n v="641001"/>
    <x v="11"/>
    <x v="6"/>
    <n v="0.65"/>
  </r>
  <r>
    <x v="2"/>
    <x v="0"/>
    <n v="160017"/>
    <x v="12"/>
    <x v="6"/>
    <n v="0.34"/>
  </r>
  <r>
    <x v="2"/>
    <x v="0"/>
    <n v="122001"/>
    <x v="13"/>
    <x v="6"/>
    <n v="0.21"/>
  </r>
  <r>
    <x v="2"/>
    <x v="0"/>
    <n v="492001"/>
    <x v="14"/>
    <x v="6"/>
    <n v="0.13"/>
  </r>
  <r>
    <x v="3"/>
    <x v="0"/>
    <n v="400001"/>
    <x v="0"/>
    <x v="6"/>
    <n v="2.21"/>
  </r>
  <r>
    <x v="3"/>
    <x v="0"/>
    <n v="110001"/>
    <x v="1"/>
    <x v="6"/>
    <n v="1.51"/>
  </r>
  <r>
    <x v="3"/>
    <x v="0"/>
    <n v="700001"/>
    <x v="2"/>
    <x v="6"/>
    <n v="1.6"/>
  </r>
  <r>
    <x v="3"/>
    <x v="0"/>
    <n v="560001"/>
    <x v="3"/>
    <x v="6"/>
    <n v="1.51"/>
  </r>
  <r>
    <x v="3"/>
    <x v="0"/>
    <n v="600001"/>
    <x v="4"/>
    <x v="6"/>
    <n v="1.47"/>
  </r>
  <r>
    <x v="3"/>
    <x v="0"/>
    <n v="500001"/>
    <x v="5"/>
    <x v="6"/>
    <n v="0.95"/>
  </r>
  <r>
    <x v="3"/>
    <x v="0"/>
    <n v="411001"/>
    <x v="6"/>
    <x v="6"/>
    <n v="1.79"/>
  </r>
  <r>
    <x v="3"/>
    <x v="0"/>
    <n v="380001"/>
    <x v="7"/>
    <x v="6"/>
    <n v="0.97"/>
  </r>
  <r>
    <x v="3"/>
    <x v="0"/>
    <n v="302001"/>
    <x v="8"/>
    <x v="6"/>
    <n v="0.56000000000000005"/>
  </r>
  <r>
    <x v="3"/>
    <x v="0"/>
    <n v="226001"/>
    <x v="9"/>
    <x v="6"/>
    <n v="0.54"/>
  </r>
  <r>
    <x v="3"/>
    <x v="0"/>
    <n v="800008"/>
    <x v="10"/>
    <x v="6"/>
    <n v="0.35"/>
  </r>
  <r>
    <x v="3"/>
    <x v="0"/>
    <n v="641001"/>
    <x v="11"/>
    <x v="6"/>
    <n v="0.35"/>
  </r>
  <r>
    <x v="3"/>
    <x v="0"/>
    <n v="160017"/>
    <x v="12"/>
    <x v="6"/>
    <n v="0.47"/>
  </r>
  <r>
    <x v="3"/>
    <x v="0"/>
    <n v="122001"/>
    <x v="13"/>
    <x v="6"/>
    <n v="0.17"/>
  </r>
  <r>
    <x v="3"/>
    <x v="0"/>
    <n v="492001"/>
    <x v="14"/>
    <x v="6"/>
    <n v="0.13"/>
  </r>
  <r>
    <x v="4"/>
    <x v="1"/>
    <n v="400001"/>
    <x v="0"/>
    <x v="6"/>
    <n v="0.26"/>
  </r>
  <r>
    <x v="4"/>
    <x v="1"/>
    <n v="110001"/>
    <x v="1"/>
    <x v="6"/>
    <n v="0.44"/>
  </r>
  <r>
    <x v="4"/>
    <x v="1"/>
    <n v="700001"/>
    <x v="2"/>
    <x v="6"/>
    <n v="0.4"/>
  </r>
  <r>
    <x v="4"/>
    <x v="1"/>
    <n v="560001"/>
    <x v="3"/>
    <x v="6"/>
    <n v="0.64"/>
  </r>
  <r>
    <x v="4"/>
    <x v="1"/>
    <n v="600001"/>
    <x v="4"/>
    <x v="6"/>
    <n v="0.4"/>
  </r>
  <r>
    <x v="4"/>
    <x v="1"/>
    <n v="500001"/>
    <x v="5"/>
    <x v="6"/>
    <n v="0.22"/>
  </r>
  <r>
    <x v="4"/>
    <x v="1"/>
    <n v="411001"/>
    <x v="6"/>
    <x v="6"/>
    <n v="0.18"/>
  </r>
  <r>
    <x v="4"/>
    <x v="1"/>
    <n v="380001"/>
    <x v="7"/>
    <x v="6"/>
    <n v="0.16"/>
  </r>
  <r>
    <x v="4"/>
    <x v="1"/>
    <n v="302001"/>
    <x v="8"/>
    <x v="6"/>
    <n v="0.24"/>
  </r>
  <r>
    <x v="4"/>
    <x v="1"/>
    <n v="226001"/>
    <x v="9"/>
    <x v="6"/>
    <n v="0.12"/>
  </r>
  <r>
    <x v="4"/>
    <x v="1"/>
    <n v="800008"/>
    <x v="10"/>
    <x v="6"/>
    <n v="7.0000000000000007E-2"/>
  </r>
  <r>
    <x v="4"/>
    <x v="1"/>
    <n v="641001"/>
    <x v="11"/>
    <x v="6"/>
    <n v="0.06"/>
  </r>
  <r>
    <x v="4"/>
    <x v="1"/>
    <n v="160017"/>
    <x v="12"/>
    <x v="6"/>
    <n v="7.0000000000000007E-2"/>
  </r>
  <r>
    <x v="4"/>
    <x v="1"/>
    <n v="122001"/>
    <x v="13"/>
    <x v="6"/>
    <n v="0.02"/>
  </r>
  <r>
    <x v="4"/>
    <x v="1"/>
    <n v="492001"/>
    <x v="14"/>
    <x v="6"/>
    <n v="0.04"/>
  </r>
  <r>
    <x v="5"/>
    <x v="1"/>
    <n v="400001"/>
    <x v="0"/>
    <x v="6"/>
    <n v="0.45"/>
  </r>
  <r>
    <x v="5"/>
    <x v="1"/>
    <n v="110001"/>
    <x v="1"/>
    <x v="6"/>
    <n v="0.42"/>
  </r>
  <r>
    <x v="5"/>
    <x v="1"/>
    <n v="700001"/>
    <x v="2"/>
    <x v="6"/>
    <n v="0.27"/>
  </r>
  <r>
    <x v="5"/>
    <x v="1"/>
    <n v="560001"/>
    <x v="3"/>
    <x v="6"/>
    <n v="0.49"/>
  </r>
  <r>
    <x v="5"/>
    <x v="1"/>
    <n v="600001"/>
    <x v="4"/>
    <x v="6"/>
    <n v="0.44"/>
  </r>
  <r>
    <x v="5"/>
    <x v="1"/>
    <n v="500001"/>
    <x v="5"/>
    <x v="6"/>
    <n v="0.27"/>
  </r>
  <r>
    <x v="5"/>
    <x v="1"/>
    <n v="411001"/>
    <x v="6"/>
    <x v="6"/>
    <n v="0.2"/>
  </r>
  <r>
    <x v="5"/>
    <x v="1"/>
    <n v="380001"/>
    <x v="7"/>
    <x v="6"/>
    <n v="0.32"/>
  </r>
  <r>
    <x v="5"/>
    <x v="1"/>
    <n v="302001"/>
    <x v="8"/>
    <x v="6"/>
    <n v="0.11"/>
  </r>
  <r>
    <x v="5"/>
    <x v="1"/>
    <n v="226001"/>
    <x v="9"/>
    <x v="6"/>
    <n v="0.09"/>
  </r>
  <r>
    <x v="5"/>
    <x v="1"/>
    <n v="800008"/>
    <x v="10"/>
    <x v="6"/>
    <n v="0.08"/>
  </r>
  <r>
    <x v="5"/>
    <x v="1"/>
    <n v="641001"/>
    <x v="11"/>
    <x v="6"/>
    <n v="0.14000000000000001"/>
  </r>
  <r>
    <x v="5"/>
    <x v="1"/>
    <n v="160017"/>
    <x v="12"/>
    <x v="6"/>
    <n v="0.05"/>
  </r>
  <r>
    <x v="5"/>
    <x v="1"/>
    <n v="122001"/>
    <x v="13"/>
    <x v="6"/>
    <n v="7.0000000000000007E-2"/>
  </r>
  <r>
    <x v="5"/>
    <x v="1"/>
    <n v="492001"/>
    <x v="14"/>
    <x v="6"/>
    <n v="0.05"/>
  </r>
  <r>
    <x v="6"/>
    <x v="1"/>
    <n v="400001"/>
    <x v="0"/>
    <x v="6"/>
    <n v="0.61"/>
  </r>
  <r>
    <x v="6"/>
    <x v="1"/>
    <n v="110001"/>
    <x v="1"/>
    <x v="6"/>
    <n v="0.75"/>
  </r>
  <r>
    <x v="6"/>
    <x v="1"/>
    <n v="700001"/>
    <x v="2"/>
    <x v="6"/>
    <n v="0.55000000000000004"/>
  </r>
  <r>
    <x v="6"/>
    <x v="1"/>
    <n v="560001"/>
    <x v="3"/>
    <x v="6"/>
    <n v="0.67"/>
  </r>
  <r>
    <x v="6"/>
    <x v="1"/>
    <n v="600001"/>
    <x v="4"/>
    <x v="6"/>
    <n v="0.36"/>
  </r>
  <r>
    <x v="6"/>
    <x v="1"/>
    <n v="500001"/>
    <x v="5"/>
    <x v="6"/>
    <n v="0.44"/>
  </r>
  <r>
    <x v="6"/>
    <x v="1"/>
    <n v="411001"/>
    <x v="6"/>
    <x v="6"/>
    <n v="0.11"/>
  </r>
  <r>
    <x v="6"/>
    <x v="1"/>
    <n v="380001"/>
    <x v="7"/>
    <x v="6"/>
    <n v="0.22"/>
  </r>
  <r>
    <x v="6"/>
    <x v="1"/>
    <n v="302001"/>
    <x v="8"/>
    <x v="6"/>
    <n v="7.0000000000000007E-2"/>
  </r>
  <r>
    <x v="6"/>
    <x v="1"/>
    <n v="226001"/>
    <x v="9"/>
    <x v="6"/>
    <n v="0.18"/>
  </r>
  <r>
    <x v="6"/>
    <x v="1"/>
    <n v="800008"/>
    <x v="10"/>
    <x v="6"/>
    <n v="0.13"/>
  </r>
  <r>
    <x v="6"/>
    <x v="1"/>
    <n v="641001"/>
    <x v="11"/>
    <x v="6"/>
    <n v="0.2"/>
  </r>
  <r>
    <x v="6"/>
    <x v="1"/>
    <n v="160017"/>
    <x v="12"/>
    <x v="6"/>
    <n v="0.08"/>
  </r>
  <r>
    <x v="6"/>
    <x v="1"/>
    <n v="122001"/>
    <x v="13"/>
    <x v="6"/>
    <n v="7.0000000000000007E-2"/>
  </r>
  <r>
    <x v="6"/>
    <x v="1"/>
    <n v="492001"/>
    <x v="14"/>
    <x v="6"/>
    <n v="0.03"/>
  </r>
  <r>
    <x v="7"/>
    <x v="1"/>
    <n v="400001"/>
    <x v="0"/>
    <x v="6"/>
    <n v="0.47"/>
  </r>
  <r>
    <x v="7"/>
    <x v="1"/>
    <n v="110001"/>
    <x v="1"/>
    <x v="6"/>
    <n v="0.41"/>
  </r>
  <r>
    <x v="7"/>
    <x v="1"/>
    <n v="700001"/>
    <x v="2"/>
    <x v="6"/>
    <n v="0.69"/>
  </r>
  <r>
    <x v="7"/>
    <x v="1"/>
    <n v="560001"/>
    <x v="3"/>
    <x v="6"/>
    <n v="0.44"/>
  </r>
  <r>
    <x v="7"/>
    <x v="1"/>
    <n v="600001"/>
    <x v="4"/>
    <x v="6"/>
    <n v="0.34"/>
  </r>
  <r>
    <x v="7"/>
    <x v="1"/>
    <n v="500001"/>
    <x v="5"/>
    <x v="6"/>
    <n v="0.28000000000000003"/>
  </r>
  <r>
    <x v="7"/>
    <x v="1"/>
    <n v="411001"/>
    <x v="6"/>
    <x v="6"/>
    <n v="0.54"/>
  </r>
  <r>
    <x v="7"/>
    <x v="1"/>
    <n v="380001"/>
    <x v="7"/>
    <x v="6"/>
    <n v="0.35"/>
  </r>
  <r>
    <x v="7"/>
    <x v="1"/>
    <n v="302001"/>
    <x v="8"/>
    <x v="6"/>
    <n v="0.19"/>
  </r>
  <r>
    <x v="7"/>
    <x v="1"/>
    <n v="226001"/>
    <x v="9"/>
    <x v="6"/>
    <n v="0.17"/>
  </r>
  <r>
    <x v="7"/>
    <x v="1"/>
    <n v="800008"/>
    <x v="10"/>
    <x v="6"/>
    <n v="0.1"/>
  </r>
  <r>
    <x v="7"/>
    <x v="1"/>
    <n v="641001"/>
    <x v="11"/>
    <x v="6"/>
    <n v="7.0000000000000007E-2"/>
  </r>
  <r>
    <x v="7"/>
    <x v="1"/>
    <n v="160017"/>
    <x v="12"/>
    <x v="6"/>
    <n v="0.15"/>
  </r>
  <r>
    <x v="7"/>
    <x v="1"/>
    <n v="122001"/>
    <x v="13"/>
    <x v="6"/>
    <n v="7.0000000000000007E-2"/>
  </r>
  <r>
    <x v="7"/>
    <x v="1"/>
    <n v="492001"/>
    <x v="14"/>
    <x v="6"/>
    <n v="0.05"/>
  </r>
  <r>
    <x v="0"/>
    <x v="0"/>
    <n v="400001"/>
    <x v="0"/>
    <x v="7"/>
    <n v="1.39"/>
  </r>
  <r>
    <x v="0"/>
    <x v="0"/>
    <n v="400001"/>
    <x v="0"/>
    <x v="8"/>
    <n v="0.7"/>
  </r>
  <r>
    <x v="0"/>
    <x v="0"/>
    <n v="400001"/>
    <x v="0"/>
    <x v="9"/>
    <n v="0.52"/>
  </r>
  <r>
    <x v="0"/>
    <x v="0"/>
    <n v="110001"/>
    <x v="1"/>
    <x v="7"/>
    <n v="1.1499999999999999"/>
  </r>
  <r>
    <x v="0"/>
    <x v="0"/>
    <n v="110001"/>
    <x v="1"/>
    <x v="8"/>
    <n v="0.72"/>
  </r>
  <r>
    <x v="0"/>
    <x v="0"/>
    <n v="110001"/>
    <x v="1"/>
    <x v="9"/>
    <n v="0.28999999999999998"/>
  </r>
  <r>
    <x v="0"/>
    <x v="0"/>
    <n v="700001"/>
    <x v="2"/>
    <x v="7"/>
    <n v="0.97"/>
  </r>
  <r>
    <x v="0"/>
    <x v="0"/>
    <n v="700001"/>
    <x v="2"/>
    <x v="8"/>
    <n v="0.69"/>
  </r>
  <r>
    <x v="0"/>
    <x v="0"/>
    <n v="700001"/>
    <x v="2"/>
    <x v="9"/>
    <n v="0.14000000000000001"/>
  </r>
  <r>
    <x v="0"/>
    <x v="0"/>
    <n v="560001"/>
    <x v="3"/>
    <x v="7"/>
    <n v="1"/>
  </r>
  <r>
    <x v="0"/>
    <x v="0"/>
    <n v="560001"/>
    <x v="3"/>
    <x v="8"/>
    <n v="0.63"/>
  </r>
  <r>
    <x v="0"/>
    <x v="0"/>
    <n v="560001"/>
    <x v="3"/>
    <x v="9"/>
    <n v="0.25"/>
  </r>
  <r>
    <x v="0"/>
    <x v="0"/>
    <n v="600001"/>
    <x v="4"/>
    <x v="7"/>
    <n v="0.78"/>
  </r>
  <r>
    <x v="0"/>
    <x v="0"/>
    <n v="600001"/>
    <x v="4"/>
    <x v="8"/>
    <n v="0.39"/>
  </r>
  <r>
    <x v="0"/>
    <x v="0"/>
    <n v="600001"/>
    <x v="4"/>
    <x v="9"/>
    <n v="0.1"/>
  </r>
  <r>
    <x v="0"/>
    <x v="0"/>
    <n v="500001"/>
    <x v="5"/>
    <x v="7"/>
    <n v="0.83"/>
  </r>
  <r>
    <x v="0"/>
    <x v="0"/>
    <n v="500001"/>
    <x v="5"/>
    <x v="8"/>
    <n v="0.42"/>
  </r>
  <r>
    <x v="0"/>
    <x v="0"/>
    <n v="500001"/>
    <x v="5"/>
    <x v="9"/>
    <n v="0.17"/>
  </r>
  <r>
    <x v="0"/>
    <x v="0"/>
    <n v="411001"/>
    <x v="6"/>
    <x v="7"/>
    <n v="0.51"/>
  </r>
  <r>
    <x v="0"/>
    <x v="0"/>
    <n v="411001"/>
    <x v="6"/>
    <x v="8"/>
    <n v="0.28999999999999998"/>
  </r>
  <r>
    <x v="0"/>
    <x v="0"/>
    <n v="411001"/>
    <x v="6"/>
    <x v="9"/>
    <n v="7.0000000000000007E-2"/>
  </r>
  <r>
    <x v="0"/>
    <x v="0"/>
    <n v="380001"/>
    <x v="7"/>
    <x v="7"/>
    <n v="0.62"/>
  </r>
  <r>
    <x v="0"/>
    <x v="0"/>
    <n v="380001"/>
    <x v="7"/>
    <x v="8"/>
    <n v="0.34"/>
  </r>
  <r>
    <x v="0"/>
    <x v="0"/>
    <n v="380001"/>
    <x v="7"/>
    <x v="9"/>
    <n v="0.21"/>
  </r>
  <r>
    <x v="0"/>
    <x v="0"/>
    <n v="302001"/>
    <x v="8"/>
    <x v="7"/>
    <n v="0.68"/>
  </r>
  <r>
    <x v="0"/>
    <x v="0"/>
    <n v="302001"/>
    <x v="8"/>
    <x v="8"/>
    <n v="0.34"/>
  </r>
  <r>
    <x v="0"/>
    <x v="0"/>
    <n v="302001"/>
    <x v="8"/>
    <x v="9"/>
    <n v="0.14000000000000001"/>
  </r>
  <r>
    <x v="0"/>
    <x v="0"/>
    <n v="226001"/>
    <x v="9"/>
    <x v="7"/>
    <n v="0.38"/>
  </r>
  <r>
    <x v="0"/>
    <x v="0"/>
    <n v="226001"/>
    <x v="9"/>
    <x v="8"/>
    <n v="0.25"/>
  </r>
  <r>
    <x v="0"/>
    <x v="0"/>
    <n v="226001"/>
    <x v="9"/>
    <x v="9"/>
    <n v="0.13"/>
  </r>
  <r>
    <x v="0"/>
    <x v="0"/>
    <n v="800008"/>
    <x v="10"/>
    <x v="7"/>
    <n v="0.53"/>
  </r>
  <r>
    <x v="0"/>
    <x v="0"/>
    <n v="800008"/>
    <x v="10"/>
    <x v="8"/>
    <n v="0.21"/>
  </r>
  <r>
    <x v="0"/>
    <x v="0"/>
    <n v="800008"/>
    <x v="10"/>
    <x v="9"/>
    <n v="0.11"/>
  </r>
  <r>
    <x v="0"/>
    <x v="0"/>
    <n v="641001"/>
    <x v="11"/>
    <x v="7"/>
    <n v="0.15"/>
  </r>
  <r>
    <x v="0"/>
    <x v="0"/>
    <n v="641001"/>
    <x v="11"/>
    <x v="8"/>
    <n v="0.09"/>
  </r>
  <r>
    <x v="0"/>
    <x v="0"/>
    <n v="641001"/>
    <x v="11"/>
    <x v="9"/>
    <n v="0.04"/>
  </r>
  <r>
    <x v="0"/>
    <x v="0"/>
    <n v="160017"/>
    <x v="12"/>
    <x v="7"/>
    <n v="0.14000000000000001"/>
  </r>
  <r>
    <x v="0"/>
    <x v="0"/>
    <n v="160017"/>
    <x v="12"/>
    <x v="8"/>
    <n v="0.06"/>
  </r>
  <r>
    <x v="0"/>
    <x v="0"/>
    <n v="160017"/>
    <x v="12"/>
    <x v="9"/>
    <n v="0.06"/>
  </r>
  <r>
    <x v="0"/>
    <x v="0"/>
    <n v="122001"/>
    <x v="13"/>
    <x v="7"/>
    <n v="0.14000000000000001"/>
  </r>
  <r>
    <x v="0"/>
    <x v="0"/>
    <n v="122001"/>
    <x v="13"/>
    <x v="8"/>
    <n v="0.06"/>
  </r>
  <r>
    <x v="0"/>
    <x v="0"/>
    <n v="122001"/>
    <x v="13"/>
    <x v="9"/>
    <n v="0.06"/>
  </r>
  <r>
    <x v="0"/>
    <x v="0"/>
    <n v="492001"/>
    <x v="14"/>
    <x v="7"/>
    <n v="0.09"/>
  </r>
  <r>
    <x v="0"/>
    <x v="0"/>
    <n v="492001"/>
    <x v="14"/>
    <x v="8"/>
    <n v="0.05"/>
  </r>
  <r>
    <x v="0"/>
    <x v="0"/>
    <n v="492001"/>
    <x v="14"/>
    <x v="9"/>
    <n v="0.04"/>
  </r>
  <r>
    <x v="1"/>
    <x v="0"/>
    <n v="400001"/>
    <x v="0"/>
    <x v="7"/>
    <n v="1.61"/>
  </r>
  <r>
    <x v="1"/>
    <x v="0"/>
    <n v="400001"/>
    <x v="0"/>
    <x v="8"/>
    <n v="1.01"/>
  </r>
  <r>
    <x v="1"/>
    <x v="0"/>
    <n v="400001"/>
    <x v="0"/>
    <x v="9"/>
    <n v="0.4"/>
  </r>
  <r>
    <x v="1"/>
    <x v="0"/>
    <n v="110001"/>
    <x v="1"/>
    <x v="7"/>
    <n v="1.32"/>
  </r>
  <r>
    <x v="1"/>
    <x v="0"/>
    <n v="110001"/>
    <x v="1"/>
    <x v="8"/>
    <n v="0.49"/>
  </r>
  <r>
    <x v="1"/>
    <x v="0"/>
    <n v="110001"/>
    <x v="1"/>
    <x v="9"/>
    <n v="0.33"/>
  </r>
  <r>
    <x v="1"/>
    <x v="0"/>
    <n v="700001"/>
    <x v="2"/>
    <x v="7"/>
    <n v="1.23"/>
  </r>
  <r>
    <x v="1"/>
    <x v="0"/>
    <n v="700001"/>
    <x v="2"/>
    <x v="8"/>
    <n v="0.61"/>
  </r>
  <r>
    <x v="1"/>
    <x v="0"/>
    <n v="700001"/>
    <x v="2"/>
    <x v="9"/>
    <n v="0.46"/>
  </r>
  <r>
    <x v="1"/>
    <x v="0"/>
    <n v="560001"/>
    <x v="3"/>
    <x v="7"/>
    <n v="1.76"/>
  </r>
  <r>
    <x v="1"/>
    <x v="0"/>
    <n v="560001"/>
    <x v="3"/>
    <x v="8"/>
    <n v="0.71"/>
  </r>
  <r>
    <x v="1"/>
    <x v="0"/>
    <n v="560001"/>
    <x v="3"/>
    <x v="9"/>
    <n v="0.53"/>
  </r>
  <r>
    <x v="1"/>
    <x v="0"/>
    <n v="600001"/>
    <x v="4"/>
    <x v="7"/>
    <n v="1.7"/>
  </r>
  <r>
    <x v="1"/>
    <x v="0"/>
    <n v="600001"/>
    <x v="4"/>
    <x v="8"/>
    <n v="0.85"/>
  </r>
  <r>
    <x v="1"/>
    <x v="0"/>
    <n v="600001"/>
    <x v="4"/>
    <x v="9"/>
    <n v="0.64"/>
  </r>
  <r>
    <x v="1"/>
    <x v="0"/>
    <n v="500001"/>
    <x v="5"/>
    <x v="7"/>
    <n v="0.81"/>
  </r>
  <r>
    <x v="1"/>
    <x v="0"/>
    <n v="500001"/>
    <x v="5"/>
    <x v="8"/>
    <n v="0.35"/>
  </r>
  <r>
    <x v="1"/>
    <x v="0"/>
    <n v="500001"/>
    <x v="5"/>
    <x v="9"/>
    <n v="0.35"/>
  </r>
  <r>
    <x v="1"/>
    <x v="0"/>
    <n v="411001"/>
    <x v="6"/>
    <x v="7"/>
    <n v="0.89"/>
  </r>
  <r>
    <x v="1"/>
    <x v="0"/>
    <n v="411001"/>
    <x v="6"/>
    <x v="8"/>
    <n v="0.39"/>
  </r>
  <r>
    <x v="1"/>
    <x v="0"/>
    <n v="411001"/>
    <x v="6"/>
    <x v="9"/>
    <n v="0.39"/>
  </r>
  <r>
    <x v="1"/>
    <x v="0"/>
    <n v="380001"/>
    <x v="7"/>
    <x v="7"/>
    <n v="0.6"/>
  </r>
  <r>
    <x v="1"/>
    <x v="0"/>
    <n v="380001"/>
    <x v="7"/>
    <x v="8"/>
    <n v="0.3"/>
  </r>
  <r>
    <x v="1"/>
    <x v="0"/>
    <n v="380001"/>
    <x v="7"/>
    <x v="9"/>
    <n v="0.06"/>
  </r>
  <r>
    <x v="1"/>
    <x v="0"/>
    <n v="302001"/>
    <x v="8"/>
    <x v="7"/>
    <n v="0.3"/>
  </r>
  <r>
    <x v="1"/>
    <x v="0"/>
    <n v="302001"/>
    <x v="8"/>
    <x v="8"/>
    <n v="0.22"/>
  </r>
  <r>
    <x v="1"/>
    <x v="0"/>
    <n v="302001"/>
    <x v="8"/>
    <x v="9"/>
    <n v="0.04"/>
  </r>
  <r>
    <x v="1"/>
    <x v="0"/>
    <n v="226001"/>
    <x v="9"/>
    <x v="7"/>
    <n v="0.65"/>
  </r>
  <r>
    <x v="1"/>
    <x v="0"/>
    <n v="226001"/>
    <x v="9"/>
    <x v="8"/>
    <n v="0.37"/>
  </r>
  <r>
    <x v="1"/>
    <x v="0"/>
    <n v="226001"/>
    <x v="9"/>
    <x v="9"/>
    <n v="0.09"/>
  </r>
  <r>
    <x v="1"/>
    <x v="0"/>
    <n v="800008"/>
    <x v="10"/>
    <x v="7"/>
    <n v="0.34"/>
  </r>
  <r>
    <x v="1"/>
    <x v="0"/>
    <n v="800008"/>
    <x v="10"/>
    <x v="8"/>
    <n v="0.15"/>
  </r>
  <r>
    <x v="1"/>
    <x v="0"/>
    <n v="800008"/>
    <x v="10"/>
    <x v="9"/>
    <n v="0.04"/>
  </r>
  <r>
    <x v="1"/>
    <x v="0"/>
    <n v="641001"/>
    <x v="11"/>
    <x v="7"/>
    <n v="0.33"/>
  </r>
  <r>
    <x v="1"/>
    <x v="0"/>
    <n v="641001"/>
    <x v="11"/>
    <x v="8"/>
    <n v="0.18"/>
  </r>
  <r>
    <x v="1"/>
    <x v="0"/>
    <n v="641001"/>
    <x v="11"/>
    <x v="9"/>
    <n v="0.15"/>
  </r>
  <r>
    <x v="1"/>
    <x v="0"/>
    <n v="160017"/>
    <x v="12"/>
    <x v="7"/>
    <n v="0.18"/>
  </r>
  <r>
    <x v="1"/>
    <x v="0"/>
    <n v="160017"/>
    <x v="12"/>
    <x v="8"/>
    <n v="0.09"/>
  </r>
  <r>
    <x v="1"/>
    <x v="0"/>
    <n v="160017"/>
    <x v="12"/>
    <x v="9"/>
    <n v="0.04"/>
  </r>
  <r>
    <x v="1"/>
    <x v="0"/>
    <n v="122001"/>
    <x v="13"/>
    <x v="7"/>
    <n v="0.18"/>
  </r>
  <r>
    <x v="1"/>
    <x v="0"/>
    <n v="122001"/>
    <x v="13"/>
    <x v="8"/>
    <n v="0.16"/>
  </r>
  <r>
    <x v="1"/>
    <x v="0"/>
    <n v="122001"/>
    <x v="13"/>
    <x v="9"/>
    <n v="0.08"/>
  </r>
  <r>
    <x v="1"/>
    <x v="0"/>
    <n v="492001"/>
    <x v="14"/>
    <x v="7"/>
    <n v="0.11"/>
  </r>
  <r>
    <x v="1"/>
    <x v="0"/>
    <n v="492001"/>
    <x v="14"/>
    <x v="8"/>
    <n v="0.06"/>
  </r>
  <r>
    <x v="1"/>
    <x v="0"/>
    <n v="492001"/>
    <x v="14"/>
    <x v="9"/>
    <n v="0.06"/>
  </r>
  <r>
    <x v="2"/>
    <x v="0"/>
    <n v="400001"/>
    <x v="0"/>
    <x v="7"/>
    <n v="1.28"/>
  </r>
  <r>
    <x v="2"/>
    <x v="0"/>
    <n v="400001"/>
    <x v="0"/>
    <x v="8"/>
    <n v="0.55000000000000004"/>
  </r>
  <r>
    <x v="2"/>
    <x v="0"/>
    <n v="400001"/>
    <x v="0"/>
    <x v="9"/>
    <n v="0.37"/>
  </r>
  <r>
    <x v="2"/>
    <x v="0"/>
    <n v="110001"/>
    <x v="1"/>
    <x v="7"/>
    <n v="1.46"/>
  </r>
  <r>
    <x v="2"/>
    <x v="0"/>
    <n v="110001"/>
    <x v="1"/>
    <x v="8"/>
    <n v="0.81"/>
  </r>
  <r>
    <x v="2"/>
    <x v="0"/>
    <n v="110001"/>
    <x v="1"/>
    <x v="9"/>
    <n v="0.32"/>
  </r>
  <r>
    <x v="2"/>
    <x v="0"/>
    <n v="700001"/>
    <x v="2"/>
    <x v="7"/>
    <n v="1.77"/>
  </r>
  <r>
    <x v="2"/>
    <x v="0"/>
    <n v="700001"/>
    <x v="2"/>
    <x v="8"/>
    <n v="0.89"/>
  </r>
  <r>
    <x v="2"/>
    <x v="0"/>
    <n v="700001"/>
    <x v="2"/>
    <x v="9"/>
    <n v="0.67"/>
  </r>
  <r>
    <x v="2"/>
    <x v="0"/>
    <n v="560001"/>
    <x v="3"/>
    <x v="7"/>
    <n v="1.24"/>
  </r>
  <r>
    <x v="2"/>
    <x v="0"/>
    <n v="560001"/>
    <x v="3"/>
    <x v="8"/>
    <n v="0.62"/>
  </r>
  <r>
    <x v="2"/>
    <x v="0"/>
    <n v="560001"/>
    <x v="3"/>
    <x v="9"/>
    <n v="0.31"/>
  </r>
  <r>
    <x v="2"/>
    <x v="0"/>
    <n v="600001"/>
    <x v="4"/>
    <x v="7"/>
    <n v="0.74"/>
  </r>
  <r>
    <x v="2"/>
    <x v="0"/>
    <n v="600001"/>
    <x v="4"/>
    <x v="8"/>
    <n v="0.37"/>
  </r>
  <r>
    <x v="2"/>
    <x v="0"/>
    <n v="600001"/>
    <x v="4"/>
    <x v="9"/>
    <n v="0.37"/>
  </r>
  <r>
    <x v="2"/>
    <x v="0"/>
    <n v="500001"/>
    <x v="5"/>
    <x v="7"/>
    <n v="0.87"/>
  </r>
  <r>
    <x v="2"/>
    <x v="0"/>
    <n v="500001"/>
    <x v="5"/>
    <x v="8"/>
    <n v="0.48"/>
  </r>
  <r>
    <x v="2"/>
    <x v="0"/>
    <n v="500001"/>
    <x v="5"/>
    <x v="9"/>
    <n v="0.28999999999999998"/>
  </r>
  <r>
    <x v="2"/>
    <x v="0"/>
    <n v="411001"/>
    <x v="6"/>
    <x v="7"/>
    <n v="0.88"/>
  </r>
  <r>
    <x v="2"/>
    <x v="0"/>
    <n v="411001"/>
    <x v="6"/>
    <x v="8"/>
    <n v="0.44"/>
  </r>
  <r>
    <x v="2"/>
    <x v="0"/>
    <n v="411001"/>
    <x v="6"/>
    <x v="9"/>
    <n v="0.11"/>
  </r>
  <r>
    <x v="2"/>
    <x v="0"/>
    <n v="380001"/>
    <x v="7"/>
    <x v="7"/>
    <n v="0.77"/>
  </r>
  <r>
    <x v="2"/>
    <x v="0"/>
    <n v="380001"/>
    <x v="7"/>
    <x v="8"/>
    <n v="0.39"/>
  </r>
  <r>
    <x v="2"/>
    <x v="0"/>
    <n v="380001"/>
    <x v="7"/>
    <x v="9"/>
    <n v="0.39"/>
  </r>
  <r>
    <x v="2"/>
    <x v="0"/>
    <n v="302001"/>
    <x v="8"/>
    <x v="7"/>
    <n v="0.37"/>
  </r>
  <r>
    <x v="2"/>
    <x v="0"/>
    <n v="302001"/>
    <x v="8"/>
    <x v="8"/>
    <n v="0.26"/>
  </r>
  <r>
    <x v="2"/>
    <x v="0"/>
    <n v="302001"/>
    <x v="8"/>
    <x v="9"/>
    <n v="0.05"/>
  </r>
  <r>
    <x v="2"/>
    <x v="0"/>
    <n v="226001"/>
    <x v="9"/>
    <x v="7"/>
    <n v="0.43"/>
  </r>
  <r>
    <x v="2"/>
    <x v="0"/>
    <n v="226001"/>
    <x v="9"/>
    <x v="8"/>
    <n v="0.24"/>
  </r>
  <r>
    <x v="2"/>
    <x v="0"/>
    <n v="226001"/>
    <x v="9"/>
    <x v="9"/>
    <n v="0.09"/>
  </r>
  <r>
    <x v="2"/>
    <x v="0"/>
    <n v="800008"/>
    <x v="10"/>
    <x v="7"/>
    <n v="0.28000000000000003"/>
  </r>
  <r>
    <x v="2"/>
    <x v="0"/>
    <n v="800008"/>
    <x v="10"/>
    <x v="8"/>
    <n v="0.19"/>
  </r>
  <r>
    <x v="2"/>
    <x v="0"/>
    <n v="800008"/>
    <x v="10"/>
    <x v="9"/>
    <n v="0.09"/>
  </r>
  <r>
    <x v="2"/>
    <x v="0"/>
    <n v="641001"/>
    <x v="11"/>
    <x v="7"/>
    <n v="0.48"/>
  </r>
  <r>
    <x v="2"/>
    <x v="0"/>
    <n v="641001"/>
    <x v="11"/>
    <x v="8"/>
    <n v="0.24"/>
  </r>
  <r>
    <x v="2"/>
    <x v="0"/>
    <n v="641001"/>
    <x v="11"/>
    <x v="9"/>
    <n v="0.12"/>
  </r>
  <r>
    <x v="2"/>
    <x v="0"/>
    <n v="160017"/>
    <x v="12"/>
    <x v="7"/>
    <n v="0.26"/>
  </r>
  <r>
    <x v="2"/>
    <x v="0"/>
    <n v="160017"/>
    <x v="12"/>
    <x v="8"/>
    <n v="0.09"/>
  </r>
  <r>
    <x v="2"/>
    <x v="0"/>
    <n v="160017"/>
    <x v="12"/>
    <x v="9"/>
    <n v="0.09"/>
  </r>
  <r>
    <x v="2"/>
    <x v="0"/>
    <n v="122001"/>
    <x v="13"/>
    <x v="7"/>
    <n v="0.12"/>
  </r>
  <r>
    <x v="2"/>
    <x v="0"/>
    <n v="122001"/>
    <x v="13"/>
    <x v="8"/>
    <n v="7.0000000000000007E-2"/>
  </r>
  <r>
    <x v="2"/>
    <x v="0"/>
    <n v="122001"/>
    <x v="13"/>
    <x v="9"/>
    <n v="0.05"/>
  </r>
  <r>
    <x v="2"/>
    <x v="0"/>
    <n v="492001"/>
    <x v="14"/>
    <x v="7"/>
    <n v="0.11"/>
  </r>
  <r>
    <x v="2"/>
    <x v="0"/>
    <n v="492001"/>
    <x v="14"/>
    <x v="8"/>
    <n v="0.06"/>
  </r>
  <r>
    <x v="2"/>
    <x v="0"/>
    <n v="492001"/>
    <x v="14"/>
    <x v="9"/>
    <n v="0.04"/>
  </r>
  <r>
    <x v="3"/>
    <x v="0"/>
    <n v="400001"/>
    <x v="0"/>
    <x v="7"/>
    <n v="1.53"/>
  </r>
  <r>
    <x v="3"/>
    <x v="0"/>
    <n v="400001"/>
    <x v="0"/>
    <x v="8"/>
    <n v="0.85"/>
  </r>
  <r>
    <x v="3"/>
    <x v="0"/>
    <n v="400001"/>
    <x v="0"/>
    <x v="9"/>
    <n v="0.51"/>
  </r>
  <r>
    <x v="3"/>
    <x v="0"/>
    <n v="110001"/>
    <x v="1"/>
    <x v="7"/>
    <n v="1.23"/>
  </r>
  <r>
    <x v="3"/>
    <x v="0"/>
    <n v="110001"/>
    <x v="1"/>
    <x v="8"/>
    <n v="0.55000000000000004"/>
  </r>
  <r>
    <x v="3"/>
    <x v="0"/>
    <n v="110001"/>
    <x v="1"/>
    <x v="9"/>
    <n v="0.41"/>
  </r>
  <r>
    <x v="3"/>
    <x v="0"/>
    <n v="700001"/>
    <x v="2"/>
    <x v="7"/>
    <n v="1.31"/>
  </r>
  <r>
    <x v="3"/>
    <x v="0"/>
    <n v="700001"/>
    <x v="2"/>
    <x v="8"/>
    <n v="0.57999999999999996"/>
  </r>
  <r>
    <x v="3"/>
    <x v="0"/>
    <n v="700001"/>
    <x v="2"/>
    <x v="9"/>
    <n v="0.44"/>
  </r>
  <r>
    <x v="3"/>
    <x v="0"/>
    <n v="560001"/>
    <x v="3"/>
    <x v="7"/>
    <n v="1.51"/>
  </r>
  <r>
    <x v="3"/>
    <x v="0"/>
    <n v="560001"/>
    <x v="3"/>
    <x v="8"/>
    <n v="0.45"/>
  </r>
  <r>
    <x v="3"/>
    <x v="0"/>
    <n v="560001"/>
    <x v="3"/>
    <x v="9"/>
    <n v="0.6"/>
  </r>
  <r>
    <x v="3"/>
    <x v="0"/>
    <n v="600001"/>
    <x v="4"/>
    <x v="7"/>
    <n v="0.86"/>
  </r>
  <r>
    <x v="3"/>
    <x v="0"/>
    <n v="600001"/>
    <x v="4"/>
    <x v="8"/>
    <n v="0.49"/>
  </r>
  <r>
    <x v="3"/>
    <x v="0"/>
    <n v="600001"/>
    <x v="4"/>
    <x v="9"/>
    <n v="0.49"/>
  </r>
  <r>
    <x v="3"/>
    <x v="0"/>
    <n v="500001"/>
    <x v="5"/>
    <x v="7"/>
    <n v="0.71"/>
  </r>
  <r>
    <x v="3"/>
    <x v="0"/>
    <n v="500001"/>
    <x v="5"/>
    <x v="8"/>
    <n v="0.4"/>
  </r>
  <r>
    <x v="3"/>
    <x v="0"/>
    <n v="500001"/>
    <x v="5"/>
    <x v="9"/>
    <n v="0.24"/>
  </r>
  <r>
    <x v="3"/>
    <x v="0"/>
    <n v="411001"/>
    <x v="6"/>
    <x v="7"/>
    <n v="1.3"/>
  </r>
  <r>
    <x v="3"/>
    <x v="0"/>
    <n v="411001"/>
    <x v="6"/>
    <x v="8"/>
    <n v="0.81"/>
  </r>
  <r>
    <x v="3"/>
    <x v="0"/>
    <n v="411001"/>
    <x v="6"/>
    <x v="9"/>
    <n v="0.16"/>
  </r>
  <r>
    <x v="3"/>
    <x v="0"/>
    <n v="380001"/>
    <x v="7"/>
    <x v="7"/>
    <n v="0.62"/>
  </r>
  <r>
    <x v="3"/>
    <x v="0"/>
    <n v="380001"/>
    <x v="7"/>
    <x v="8"/>
    <n v="0.53"/>
  </r>
  <r>
    <x v="3"/>
    <x v="0"/>
    <n v="380001"/>
    <x v="7"/>
    <x v="9"/>
    <n v="0.18"/>
  </r>
  <r>
    <x v="3"/>
    <x v="0"/>
    <n v="302001"/>
    <x v="8"/>
    <x v="7"/>
    <n v="0.42"/>
  </r>
  <r>
    <x v="3"/>
    <x v="0"/>
    <n v="302001"/>
    <x v="8"/>
    <x v="8"/>
    <n v="0.19"/>
  </r>
  <r>
    <x v="3"/>
    <x v="0"/>
    <n v="302001"/>
    <x v="8"/>
    <x v="9"/>
    <n v="0.14000000000000001"/>
  </r>
  <r>
    <x v="3"/>
    <x v="0"/>
    <n v="226001"/>
    <x v="9"/>
    <x v="7"/>
    <n v="0.36"/>
  </r>
  <r>
    <x v="3"/>
    <x v="0"/>
    <n v="226001"/>
    <x v="9"/>
    <x v="8"/>
    <n v="0.27"/>
  </r>
  <r>
    <x v="3"/>
    <x v="0"/>
    <n v="226001"/>
    <x v="9"/>
    <x v="9"/>
    <n v="0.09"/>
  </r>
  <r>
    <x v="3"/>
    <x v="0"/>
    <n v="800008"/>
    <x v="10"/>
    <x v="7"/>
    <n v="0.39"/>
  </r>
  <r>
    <x v="3"/>
    <x v="0"/>
    <n v="800008"/>
    <x v="10"/>
    <x v="8"/>
    <n v="0.19"/>
  </r>
  <r>
    <x v="3"/>
    <x v="0"/>
    <n v="800008"/>
    <x v="10"/>
    <x v="9"/>
    <n v="0.16"/>
  </r>
  <r>
    <x v="3"/>
    <x v="0"/>
    <n v="641001"/>
    <x v="11"/>
    <x v="7"/>
    <n v="0.22"/>
  </r>
  <r>
    <x v="3"/>
    <x v="0"/>
    <n v="641001"/>
    <x v="11"/>
    <x v="8"/>
    <n v="0.13"/>
  </r>
  <r>
    <x v="3"/>
    <x v="0"/>
    <n v="641001"/>
    <x v="11"/>
    <x v="9"/>
    <n v="0.13"/>
  </r>
  <r>
    <x v="3"/>
    <x v="0"/>
    <n v="160017"/>
    <x v="12"/>
    <x v="7"/>
    <n v="0.28999999999999998"/>
  </r>
  <r>
    <x v="3"/>
    <x v="0"/>
    <n v="160017"/>
    <x v="12"/>
    <x v="8"/>
    <n v="0.18"/>
  </r>
  <r>
    <x v="3"/>
    <x v="0"/>
    <n v="160017"/>
    <x v="12"/>
    <x v="9"/>
    <n v="0.11"/>
  </r>
  <r>
    <x v="3"/>
    <x v="0"/>
    <n v="122001"/>
    <x v="13"/>
    <x v="7"/>
    <n v="0.14000000000000001"/>
  </r>
  <r>
    <x v="3"/>
    <x v="0"/>
    <n v="122001"/>
    <x v="13"/>
    <x v="8"/>
    <n v="0.1"/>
  </r>
  <r>
    <x v="3"/>
    <x v="0"/>
    <n v="122001"/>
    <x v="13"/>
    <x v="9"/>
    <n v="0.05"/>
  </r>
  <r>
    <x v="3"/>
    <x v="0"/>
    <n v="492001"/>
    <x v="14"/>
    <x v="7"/>
    <n v="0.11"/>
  </r>
  <r>
    <x v="3"/>
    <x v="0"/>
    <n v="492001"/>
    <x v="14"/>
    <x v="8"/>
    <n v="0.08"/>
  </r>
  <r>
    <x v="3"/>
    <x v="0"/>
    <n v="492001"/>
    <x v="14"/>
    <x v="9"/>
    <n v="0.05"/>
  </r>
  <r>
    <x v="4"/>
    <x v="1"/>
    <n v="400001"/>
    <x v="0"/>
    <x v="10"/>
    <n v="7.24"/>
  </r>
  <r>
    <x v="4"/>
    <x v="1"/>
    <n v="400001"/>
    <x v="0"/>
    <x v="11"/>
    <n v="4.4000000000000004"/>
  </r>
  <r>
    <x v="4"/>
    <x v="1"/>
    <n v="400001"/>
    <x v="0"/>
    <x v="12"/>
    <n v="1.29"/>
  </r>
  <r>
    <x v="4"/>
    <x v="1"/>
    <n v="110001"/>
    <x v="1"/>
    <x v="10"/>
    <n v="4.42"/>
  </r>
  <r>
    <x v="4"/>
    <x v="1"/>
    <n v="110001"/>
    <x v="1"/>
    <x v="11"/>
    <n v="2.94"/>
  </r>
  <r>
    <x v="4"/>
    <x v="1"/>
    <n v="110001"/>
    <x v="1"/>
    <x v="12"/>
    <n v="1.18"/>
  </r>
  <r>
    <x v="4"/>
    <x v="1"/>
    <n v="700001"/>
    <x v="2"/>
    <x v="10"/>
    <n v="4.03"/>
  </r>
  <r>
    <x v="4"/>
    <x v="1"/>
    <n v="700001"/>
    <x v="2"/>
    <x v="11"/>
    <n v="2.5499999999999998"/>
  </r>
  <r>
    <x v="4"/>
    <x v="1"/>
    <n v="700001"/>
    <x v="2"/>
    <x v="12"/>
    <n v="0.67"/>
  </r>
  <r>
    <x v="4"/>
    <x v="1"/>
    <n v="560001"/>
    <x v="3"/>
    <x v="10"/>
    <n v="4.34"/>
  </r>
  <r>
    <x v="4"/>
    <x v="1"/>
    <n v="560001"/>
    <x v="3"/>
    <x v="11"/>
    <n v="2.73"/>
  </r>
  <r>
    <x v="4"/>
    <x v="1"/>
    <n v="560001"/>
    <x v="3"/>
    <x v="12"/>
    <n v="0.48"/>
  </r>
  <r>
    <x v="4"/>
    <x v="1"/>
    <n v="600001"/>
    <x v="4"/>
    <x v="10"/>
    <n v="4.3600000000000003"/>
  </r>
  <r>
    <x v="4"/>
    <x v="1"/>
    <n v="600001"/>
    <x v="4"/>
    <x v="11"/>
    <n v="2.25"/>
  </r>
  <r>
    <x v="4"/>
    <x v="1"/>
    <n v="600001"/>
    <x v="4"/>
    <x v="12"/>
    <n v="0.93"/>
  </r>
  <r>
    <x v="4"/>
    <x v="1"/>
    <n v="500001"/>
    <x v="5"/>
    <x v="10"/>
    <n v="3.19"/>
  </r>
  <r>
    <x v="4"/>
    <x v="1"/>
    <n v="500001"/>
    <x v="5"/>
    <x v="11"/>
    <n v="2.09"/>
  </r>
  <r>
    <x v="4"/>
    <x v="1"/>
    <n v="500001"/>
    <x v="5"/>
    <x v="12"/>
    <n v="0.55000000000000004"/>
  </r>
  <r>
    <x v="4"/>
    <x v="1"/>
    <n v="411001"/>
    <x v="6"/>
    <x v="10"/>
    <n v="2.79"/>
  </r>
  <r>
    <x v="4"/>
    <x v="1"/>
    <n v="411001"/>
    <x v="6"/>
    <x v="11"/>
    <n v="1.71"/>
  </r>
  <r>
    <x v="4"/>
    <x v="1"/>
    <n v="411001"/>
    <x v="6"/>
    <x v="12"/>
    <n v="0.36"/>
  </r>
  <r>
    <x v="4"/>
    <x v="1"/>
    <n v="380001"/>
    <x v="7"/>
    <x v="10"/>
    <n v="2.67"/>
  </r>
  <r>
    <x v="4"/>
    <x v="1"/>
    <n v="380001"/>
    <x v="7"/>
    <x v="11"/>
    <n v="1.45"/>
  </r>
  <r>
    <x v="4"/>
    <x v="1"/>
    <n v="380001"/>
    <x v="7"/>
    <x v="12"/>
    <n v="0.56999999999999995"/>
  </r>
  <r>
    <x v="4"/>
    <x v="1"/>
    <n v="302001"/>
    <x v="8"/>
    <x v="10"/>
    <n v="2.5299999999999998"/>
  </r>
  <r>
    <x v="4"/>
    <x v="1"/>
    <n v="302001"/>
    <x v="8"/>
    <x v="11"/>
    <n v="1.55"/>
  </r>
  <r>
    <x v="4"/>
    <x v="1"/>
    <n v="302001"/>
    <x v="8"/>
    <x v="12"/>
    <n v="0.33"/>
  </r>
  <r>
    <x v="4"/>
    <x v="1"/>
    <n v="226001"/>
    <x v="9"/>
    <x v="10"/>
    <n v="1.24"/>
  </r>
  <r>
    <x v="4"/>
    <x v="1"/>
    <n v="226001"/>
    <x v="9"/>
    <x v="11"/>
    <n v="0.79"/>
  </r>
  <r>
    <x v="4"/>
    <x v="1"/>
    <n v="226001"/>
    <x v="9"/>
    <x v="12"/>
    <n v="0.12"/>
  </r>
  <r>
    <x v="4"/>
    <x v="1"/>
    <n v="800008"/>
    <x v="10"/>
    <x v="10"/>
    <n v="1.76"/>
  </r>
  <r>
    <x v="4"/>
    <x v="1"/>
    <n v="800008"/>
    <x v="10"/>
    <x v="11"/>
    <n v="1.18"/>
  </r>
  <r>
    <x v="4"/>
    <x v="1"/>
    <n v="800008"/>
    <x v="10"/>
    <x v="12"/>
    <n v="0.26"/>
  </r>
  <r>
    <x v="4"/>
    <x v="1"/>
    <n v="641001"/>
    <x v="11"/>
    <x v="10"/>
    <n v="0.89"/>
  </r>
  <r>
    <x v="4"/>
    <x v="1"/>
    <n v="641001"/>
    <x v="11"/>
    <x v="11"/>
    <n v="0.57999999999999996"/>
  </r>
  <r>
    <x v="4"/>
    <x v="1"/>
    <n v="641001"/>
    <x v="11"/>
    <x v="12"/>
    <n v="0.14000000000000001"/>
  </r>
  <r>
    <x v="4"/>
    <x v="1"/>
    <n v="160017"/>
    <x v="12"/>
    <x v="10"/>
    <n v="0.79"/>
  </r>
  <r>
    <x v="4"/>
    <x v="1"/>
    <n v="160017"/>
    <x v="12"/>
    <x v="11"/>
    <n v="0.5"/>
  </r>
  <r>
    <x v="4"/>
    <x v="1"/>
    <n v="160017"/>
    <x v="12"/>
    <x v="12"/>
    <n v="0.1"/>
  </r>
  <r>
    <x v="4"/>
    <x v="1"/>
    <n v="122001"/>
    <x v="13"/>
    <x v="10"/>
    <n v="0.61"/>
  </r>
  <r>
    <x v="4"/>
    <x v="1"/>
    <n v="122001"/>
    <x v="13"/>
    <x v="11"/>
    <n v="0.4"/>
  </r>
  <r>
    <x v="4"/>
    <x v="1"/>
    <n v="122001"/>
    <x v="13"/>
    <x v="12"/>
    <n v="0.12"/>
  </r>
  <r>
    <x v="4"/>
    <x v="1"/>
    <n v="492001"/>
    <x v="14"/>
    <x v="10"/>
    <n v="0.56999999999999995"/>
  </r>
  <r>
    <x v="4"/>
    <x v="1"/>
    <n v="492001"/>
    <x v="14"/>
    <x v="11"/>
    <n v="0.39"/>
  </r>
  <r>
    <x v="4"/>
    <x v="1"/>
    <n v="492001"/>
    <x v="14"/>
    <x v="12"/>
    <n v="0.11"/>
  </r>
  <r>
    <x v="5"/>
    <x v="1"/>
    <n v="400001"/>
    <x v="0"/>
    <x v="10"/>
    <n v="6.03"/>
  </r>
  <r>
    <x v="5"/>
    <x v="1"/>
    <n v="400001"/>
    <x v="0"/>
    <x v="11"/>
    <n v="4.47"/>
  </r>
  <r>
    <x v="5"/>
    <x v="1"/>
    <n v="400001"/>
    <x v="0"/>
    <x v="12"/>
    <n v="0.89"/>
  </r>
  <r>
    <x v="5"/>
    <x v="1"/>
    <n v="110001"/>
    <x v="1"/>
    <x v="10"/>
    <n v="6.87"/>
  </r>
  <r>
    <x v="5"/>
    <x v="1"/>
    <n v="110001"/>
    <x v="1"/>
    <x v="11"/>
    <n v="3.95"/>
  </r>
  <r>
    <x v="5"/>
    <x v="1"/>
    <n v="110001"/>
    <x v="1"/>
    <x v="12"/>
    <n v="1.46"/>
  </r>
  <r>
    <x v="5"/>
    <x v="1"/>
    <n v="700001"/>
    <x v="2"/>
    <x v="10"/>
    <n v="3.82"/>
  </r>
  <r>
    <x v="5"/>
    <x v="1"/>
    <n v="700001"/>
    <x v="2"/>
    <x v="11"/>
    <n v="2.73"/>
  </r>
  <r>
    <x v="5"/>
    <x v="1"/>
    <n v="700001"/>
    <x v="2"/>
    <x v="12"/>
    <n v="0.68"/>
  </r>
  <r>
    <x v="5"/>
    <x v="1"/>
    <n v="560001"/>
    <x v="3"/>
    <x v="10"/>
    <n v="5.37"/>
  </r>
  <r>
    <x v="5"/>
    <x v="1"/>
    <n v="560001"/>
    <x v="3"/>
    <x v="11"/>
    <n v="2.77"/>
  </r>
  <r>
    <x v="5"/>
    <x v="1"/>
    <n v="560001"/>
    <x v="3"/>
    <x v="12"/>
    <n v="1.1399999999999999"/>
  </r>
  <r>
    <x v="5"/>
    <x v="1"/>
    <n v="600001"/>
    <x v="4"/>
    <x v="10"/>
    <n v="6.86"/>
  </r>
  <r>
    <x v="5"/>
    <x v="1"/>
    <n v="600001"/>
    <x v="4"/>
    <x v="11"/>
    <n v="3.76"/>
  </r>
  <r>
    <x v="5"/>
    <x v="1"/>
    <n v="600001"/>
    <x v="4"/>
    <x v="12"/>
    <n v="0.66"/>
  </r>
  <r>
    <x v="5"/>
    <x v="1"/>
    <n v="500001"/>
    <x v="5"/>
    <x v="10"/>
    <n v="4.34"/>
  </r>
  <r>
    <x v="5"/>
    <x v="1"/>
    <n v="500001"/>
    <x v="5"/>
    <x v="11"/>
    <n v="2.71"/>
  </r>
  <r>
    <x v="5"/>
    <x v="1"/>
    <n v="500001"/>
    <x v="5"/>
    <x v="12"/>
    <n v="0.41"/>
  </r>
  <r>
    <x v="5"/>
    <x v="1"/>
    <n v="411001"/>
    <x v="6"/>
    <x v="10"/>
    <n v="3.36"/>
  </r>
  <r>
    <x v="5"/>
    <x v="1"/>
    <n v="411001"/>
    <x v="6"/>
    <x v="11"/>
    <n v="2.04"/>
  </r>
  <r>
    <x v="5"/>
    <x v="1"/>
    <n v="411001"/>
    <x v="6"/>
    <x v="12"/>
    <n v="0.51"/>
  </r>
  <r>
    <x v="5"/>
    <x v="1"/>
    <n v="380001"/>
    <x v="7"/>
    <x v="10"/>
    <n v="2.62"/>
  </r>
  <r>
    <x v="5"/>
    <x v="1"/>
    <n v="380001"/>
    <x v="7"/>
    <x v="11"/>
    <n v="1.43"/>
  </r>
  <r>
    <x v="5"/>
    <x v="1"/>
    <n v="380001"/>
    <x v="7"/>
    <x v="12"/>
    <n v="0.4"/>
  </r>
  <r>
    <x v="5"/>
    <x v="1"/>
    <n v="302001"/>
    <x v="8"/>
    <x v="10"/>
    <n v="1.66"/>
  </r>
  <r>
    <x v="5"/>
    <x v="1"/>
    <n v="302001"/>
    <x v="8"/>
    <x v="11"/>
    <n v="1.05"/>
  </r>
  <r>
    <x v="5"/>
    <x v="1"/>
    <n v="302001"/>
    <x v="8"/>
    <x v="12"/>
    <n v="0.39"/>
  </r>
  <r>
    <x v="5"/>
    <x v="1"/>
    <n v="226001"/>
    <x v="9"/>
    <x v="10"/>
    <n v="2.82"/>
  </r>
  <r>
    <x v="5"/>
    <x v="1"/>
    <n v="226001"/>
    <x v="9"/>
    <x v="11"/>
    <n v="1.82"/>
  </r>
  <r>
    <x v="5"/>
    <x v="1"/>
    <n v="226001"/>
    <x v="9"/>
    <x v="12"/>
    <n v="0.55000000000000004"/>
  </r>
  <r>
    <x v="5"/>
    <x v="1"/>
    <n v="800008"/>
    <x v="10"/>
    <x v="10"/>
    <n v="1.1200000000000001"/>
  </r>
  <r>
    <x v="5"/>
    <x v="1"/>
    <n v="800008"/>
    <x v="10"/>
    <x v="11"/>
    <n v="0.8"/>
  </r>
  <r>
    <x v="5"/>
    <x v="1"/>
    <n v="800008"/>
    <x v="10"/>
    <x v="12"/>
    <n v="0.32"/>
  </r>
  <r>
    <x v="5"/>
    <x v="1"/>
    <n v="641001"/>
    <x v="11"/>
    <x v="10"/>
    <n v="1.4"/>
  </r>
  <r>
    <x v="5"/>
    <x v="1"/>
    <n v="641001"/>
    <x v="11"/>
    <x v="11"/>
    <n v="0.93"/>
  </r>
  <r>
    <x v="5"/>
    <x v="1"/>
    <n v="641001"/>
    <x v="11"/>
    <x v="12"/>
    <n v="0.28000000000000003"/>
  </r>
  <r>
    <x v="5"/>
    <x v="1"/>
    <n v="160017"/>
    <x v="12"/>
    <x v="10"/>
    <n v="0.7"/>
  </r>
  <r>
    <x v="5"/>
    <x v="1"/>
    <n v="160017"/>
    <x v="12"/>
    <x v="11"/>
    <n v="0.49"/>
  </r>
  <r>
    <x v="5"/>
    <x v="1"/>
    <n v="160017"/>
    <x v="12"/>
    <x v="12"/>
    <n v="0.17"/>
  </r>
  <r>
    <x v="5"/>
    <x v="1"/>
    <n v="122001"/>
    <x v="13"/>
    <x v="10"/>
    <n v="1.1000000000000001"/>
  </r>
  <r>
    <x v="5"/>
    <x v="1"/>
    <n v="122001"/>
    <x v="13"/>
    <x v="11"/>
    <n v="0.7"/>
  </r>
  <r>
    <x v="5"/>
    <x v="1"/>
    <n v="122001"/>
    <x v="13"/>
    <x v="12"/>
    <n v="0.28999999999999998"/>
  </r>
  <r>
    <x v="5"/>
    <x v="1"/>
    <n v="492001"/>
    <x v="14"/>
    <x v="10"/>
    <n v="0.5"/>
  </r>
  <r>
    <x v="5"/>
    <x v="1"/>
    <n v="492001"/>
    <x v="14"/>
    <x v="11"/>
    <n v="0.33"/>
  </r>
  <r>
    <x v="5"/>
    <x v="1"/>
    <n v="492001"/>
    <x v="14"/>
    <x v="12"/>
    <n v="7.0000000000000007E-2"/>
  </r>
  <r>
    <x v="6"/>
    <x v="1"/>
    <n v="400001"/>
    <x v="0"/>
    <x v="10"/>
    <n v="5.46"/>
  </r>
  <r>
    <x v="6"/>
    <x v="1"/>
    <n v="400001"/>
    <x v="0"/>
    <x v="11"/>
    <n v="3.84"/>
  </r>
  <r>
    <x v="6"/>
    <x v="1"/>
    <n v="400001"/>
    <x v="0"/>
    <x v="12"/>
    <n v="1.01"/>
  </r>
  <r>
    <x v="6"/>
    <x v="1"/>
    <n v="110001"/>
    <x v="1"/>
    <x v="10"/>
    <n v="5.24"/>
  </r>
  <r>
    <x v="6"/>
    <x v="1"/>
    <n v="110001"/>
    <x v="1"/>
    <x v="11"/>
    <n v="3.55"/>
  </r>
  <r>
    <x v="6"/>
    <x v="1"/>
    <n v="110001"/>
    <x v="1"/>
    <x v="12"/>
    <n v="0.75"/>
  </r>
  <r>
    <x v="6"/>
    <x v="1"/>
    <n v="700001"/>
    <x v="2"/>
    <x v="10"/>
    <n v="9.01"/>
  </r>
  <r>
    <x v="6"/>
    <x v="1"/>
    <n v="700001"/>
    <x v="2"/>
    <x v="11"/>
    <n v="5.73"/>
  </r>
  <r>
    <x v="6"/>
    <x v="1"/>
    <n v="700001"/>
    <x v="2"/>
    <x v="12"/>
    <n v="1.36"/>
  </r>
  <r>
    <x v="6"/>
    <x v="1"/>
    <n v="560001"/>
    <x v="3"/>
    <x v="10"/>
    <n v="5.33"/>
  </r>
  <r>
    <x v="6"/>
    <x v="1"/>
    <n v="560001"/>
    <x v="3"/>
    <x v="11"/>
    <n v="3.16"/>
  </r>
  <r>
    <x v="6"/>
    <x v="1"/>
    <n v="560001"/>
    <x v="3"/>
    <x v="12"/>
    <n v="1"/>
  </r>
  <r>
    <x v="6"/>
    <x v="1"/>
    <n v="600001"/>
    <x v="4"/>
    <x v="10"/>
    <n v="3.98"/>
  </r>
  <r>
    <x v="6"/>
    <x v="1"/>
    <n v="600001"/>
    <x v="4"/>
    <x v="11"/>
    <n v="2.17"/>
  </r>
  <r>
    <x v="6"/>
    <x v="1"/>
    <n v="600001"/>
    <x v="4"/>
    <x v="12"/>
    <n v="0.6"/>
  </r>
  <r>
    <x v="6"/>
    <x v="1"/>
    <n v="500001"/>
    <x v="5"/>
    <x v="10"/>
    <n v="3.2"/>
  </r>
  <r>
    <x v="6"/>
    <x v="1"/>
    <n v="500001"/>
    <x v="5"/>
    <x v="11"/>
    <n v="1.99"/>
  </r>
  <r>
    <x v="6"/>
    <x v="1"/>
    <n v="500001"/>
    <x v="5"/>
    <x v="12"/>
    <n v="0.44"/>
  </r>
  <r>
    <x v="6"/>
    <x v="1"/>
    <n v="411001"/>
    <x v="6"/>
    <x v="10"/>
    <n v="3.39"/>
  </r>
  <r>
    <x v="6"/>
    <x v="1"/>
    <n v="411001"/>
    <x v="6"/>
    <x v="11"/>
    <n v="2.15"/>
  </r>
  <r>
    <x v="6"/>
    <x v="1"/>
    <n v="411001"/>
    <x v="6"/>
    <x v="12"/>
    <n v="0.68"/>
  </r>
  <r>
    <x v="6"/>
    <x v="1"/>
    <n v="380001"/>
    <x v="7"/>
    <x v="10"/>
    <n v="3.21"/>
  </r>
  <r>
    <x v="6"/>
    <x v="1"/>
    <n v="380001"/>
    <x v="7"/>
    <x v="11"/>
    <n v="2.3199999999999998"/>
  </r>
  <r>
    <x v="6"/>
    <x v="1"/>
    <n v="380001"/>
    <x v="7"/>
    <x v="12"/>
    <n v="0.77"/>
  </r>
  <r>
    <x v="6"/>
    <x v="1"/>
    <n v="302001"/>
    <x v="8"/>
    <x v="10"/>
    <n v="1.86"/>
  </r>
  <r>
    <x v="6"/>
    <x v="1"/>
    <n v="302001"/>
    <x v="8"/>
    <x v="11"/>
    <n v="1.1299999999999999"/>
  </r>
  <r>
    <x v="6"/>
    <x v="1"/>
    <n v="302001"/>
    <x v="8"/>
    <x v="12"/>
    <n v="0.33"/>
  </r>
  <r>
    <x v="6"/>
    <x v="1"/>
    <n v="226001"/>
    <x v="9"/>
    <x v="10"/>
    <n v="1.64"/>
  </r>
  <r>
    <x v="6"/>
    <x v="1"/>
    <n v="226001"/>
    <x v="9"/>
    <x v="11"/>
    <n v="1.21"/>
  </r>
  <r>
    <x v="6"/>
    <x v="1"/>
    <n v="226001"/>
    <x v="9"/>
    <x v="12"/>
    <n v="0.24"/>
  </r>
  <r>
    <x v="6"/>
    <x v="1"/>
    <n v="800008"/>
    <x v="10"/>
    <x v="10"/>
    <n v="1.2"/>
  </r>
  <r>
    <x v="6"/>
    <x v="1"/>
    <n v="800008"/>
    <x v="10"/>
    <x v="11"/>
    <n v="0.81"/>
  </r>
  <r>
    <x v="6"/>
    <x v="1"/>
    <n v="800008"/>
    <x v="10"/>
    <x v="12"/>
    <n v="0.26"/>
  </r>
  <r>
    <x v="6"/>
    <x v="1"/>
    <n v="641001"/>
    <x v="11"/>
    <x v="10"/>
    <n v="2.17"/>
  </r>
  <r>
    <x v="6"/>
    <x v="1"/>
    <n v="641001"/>
    <x v="11"/>
    <x v="11"/>
    <n v="1.36"/>
  </r>
  <r>
    <x v="6"/>
    <x v="1"/>
    <n v="641001"/>
    <x v="11"/>
    <x v="12"/>
    <n v="0.41"/>
  </r>
  <r>
    <x v="6"/>
    <x v="1"/>
    <n v="160017"/>
    <x v="12"/>
    <x v="10"/>
    <n v="0.93"/>
  </r>
  <r>
    <x v="6"/>
    <x v="1"/>
    <n v="160017"/>
    <x v="12"/>
    <x v="11"/>
    <n v="0.55000000000000004"/>
  </r>
  <r>
    <x v="6"/>
    <x v="1"/>
    <n v="160017"/>
    <x v="12"/>
    <x v="12"/>
    <n v="0.11"/>
  </r>
  <r>
    <x v="6"/>
    <x v="1"/>
    <n v="122001"/>
    <x v="13"/>
    <x v="10"/>
    <n v="0.73"/>
  </r>
  <r>
    <x v="6"/>
    <x v="1"/>
    <n v="122001"/>
    <x v="13"/>
    <x v="11"/>
    <n v="0.41"/>
  </r>
  <r>
    <x v="6"/>
    <x v="1"/>
    <n v="122001"/>
    <x v="13"/>
    <x v="12"/>
    <n v="0.11"/>
  </r>
  <r>
    <x v="6"/>
    <x v="1"/>
    <n v="492001"/>
    <x v="14"/>
    <x v="10"/>
    <n v="0.44"/>
  </r>
  <r>
    <x v="6"/>
    <x v="1"/>
    <n v="492001"/>
    <x v="14"/>
    <x v="11"/>
    <n v="0.26"/>
  </r>
  <r>
    <x v="6"/>
    <x v="1"/>
    <n v="492001"/>
    <x v="14"/>
    <x v="12"/>
    <n v="0.1"/>
  </r>
  <r>
    <x v="7"/>
    <x v="1"/>
    <n v="400001"/>
    <x v="0"/>
    <x v="10"/>
    <n v="7.36"/>
  </r>
  <r>
    <x v="7"/>
    <x v="1"/>
    <n v="400001"/>
    <x v="0"/>
    <x v="11"/>
    <n v="4.51"/>
  </r>
  <r>
    <x v="7"/>
    <x v="1"/>
    <n v="400001"/>
    <x v="0"/>
    <x v="12"/>
    <n v="1.19"/>
  </r>
  <r>
    <x v="7"/>
    <x v="1"/>
    <n v="110001"/>
    <x v="1"/>
    <x v="10"/>
    <n v="6.69"/>
  </r>
  <r>
    <x v="7"/>
    <x v="1"/>
    <n v="110001"/>
    <x v="1"/>
    <x v="11"/>
    <n v="3.85"/>
  </r>
  <r>
    <x v="7"/>
    <x v="1"/>
    <n v="110001"/>
    <x v="1"/>
    <x v="12"/>
    <n v="0.61"/>
  </r>
  <r>
    <x v="7"/>
    <x v="1"/>
    <n v="700001"/>
    <x v="2"/>
    <x v="10"/>
    <n v="5.71"/>
  </r>
  <r>
    <x v="7"/>
    <x v="1"/>
    <n v="700001"/>
    <x v="2"/>
    <x v="11"/>
    <n v="3.46"/>
  </r>
  <r>
    <x v="7"/>
    <x v="1"/>
    <n v="700001"/>
    <x v="2"/>
    <x v="12"/>
    <n v="1.04"/>
  </r>
  <r>
    <x v="7"/>
    <x v="1"/>
    <n v="560001"/>
    <x v="3"/>
    <x v="10"/>
    <n v="4.29"/>
  </r>
  <r>
    <x v="7"/>
    <x v="1"/>
    <n v="560001"/>
    <x v="3"/>
    <x v="11"/>
    <n v="3.11"/>
  </r>
  <r>
    <x v="7"/>
    <x v="1"/>
    <n v="560001"/>
    <x v="3"/>
    <x v="12"/>
    <n v="0.59"/>
  </r>
  <r>
    <x v="7"/>
    <x v="1"/>
    <n v="600001"/>
    <x v="4"/>
    <x v="10"/>
    <n v="3.62"/>
  </r>
  <r>
    <x v="7"/>
    <x v="1"/>
    <n v="600001"/>
    <x v="4"/>
    <x v="11"/>
    <n v="2.2599999999999998"/>
  </r>
  <r>
    <x v="7"/>
    <x v="1"/>
    <n v="600001"/>
    <x v="4"/>
    <x v="12"/>
    <n v="0.34"/>
  </r>
  <r>
    <x v="7"/>
    <x v="1"/>
    <n v="500001"/>
    <x v="5"/>
    <x v="10"/>
    <n v="2.9"/>
  </r>
  <r>
    <x v="7"/>
    <x v="1"/>
    <n v="500001"/>
    <x v="5"/>
    <x v="11"/>
    <n v="1.97"/>
  </r>
  <r>
    <x v="7"/>
    <x v="1"/>
    <n v="500001"/>
    <x v="5"/>
    <x v="12"/>
    <n v="0.75"/>
  </r>
  <r>
    <x v="7"/>
    <x v="1"/>
    <n v="411001"/>
    <x v="6"/>
    <x v="10"/>
    <n v="6.16"/>
  </r>
  <r>
    <x v="7"/>
    <x v="1"/>
    <n v="411001"/>
    <x v="6"/>
    <x v="11"/>
    <n v="3.62"/>
  </r>
  <r>
    <x v="7"/>
    <x v="1"/>
    <n v="411001"/>
    <x v="6"/>
    <x v="12"/>
    <n v="1.27"/>
  </r>
  <r>
    <x v="7"/>
    <x v="1"/>
    <n v="380001"/>
    <x v="7"/>
    <x v="10"/>
    <n v="2.78"/>
  </r>
  <r>
    <x v="7"/>
    <x v="1"/>
    <n v="380001"/>
    <x v="7"/>
    <x v="11"/>
    <n v="1.56"/>
  </r>
  <r>
    <x v="7"/>
    <x v="1"/>
    <n v="380001"/>
    <x v="7"/>
    <x v="12"/>
    <n v="0.69"/>
  </r>
  <r>
    <x v="7"/>
    <x v="1"/>
    <n v="302001"/>
    <x v="8"/>
    <x v="10"/>
    <n v="2.06"/>
  </r>
  <r>
    <x v="7"/>
    <x v="1"/>
    <n v="302001"/>
    <x v="8"/>
    <x v="11"/>
    <n v="1.35"/>
  </r>
  <r>
    <x v="7"/>
    <x v="1"/>
    <n v="302001"/>
    <x v="8"/>
    <x v="12"/>
    <n v="0.19"/>
  </r>
  <r>
    <x v="7"/>
    <x v="1"/>
    <n v="226001"/>
    <x v="9"/>
    <x v="10"/>
    <n v="1.66"/>
  </r>
  <r>
    <x v="7"/>
    <x v="1"/>
    <n v="226001"/>
    <x v="9"/>
    <x v="11"/>
    <n v="1.0900000000000001"/>
  </r>
  <r>
    <x v="7"/>
    <x v="1"/>
    <n v="226001"/>
    <x v="9"/>
    <x v="12"/>
    <n v="0.46"/>
  </r>
  <r>
    <x v="7"/>
    <x v="1"/>
    <n v="800008"/>
    <x v="10"/>
    <x v="10"/>
    <n v="1.41"/>
  </r>
  <r>
    <x v="7"/>
    <x v="1"/>
    <n v="800008"/>
    <x v="10"/>
    <x v="11"/>
    <n v="1.02"/>
  </r>
  <r>
    <x v="7"/>
    <x v="1"/>
    <n v="800008"/>
    <x v="10"/>
    <x v="12"/>
    <n v="0.19"/>
  </r>
  <r>
    <x v="7"/>
    <x v="1"/>
    <n v="641001"/>
    <x v="11"/>
    <x v="10"/>
    <n v="1.1000000000000001"/>
  </r>
  <r>
    <x v="7"/>
    <x v="1"/>
    <n v="641001"/>
    <x v="11"/>
    <x v="11"/>
    <n v="0.71"/>
  </r>
  <r>
    <x v="7"/>
    <x v="1"/>
    <n v="641001"/>
    <x v="11"/>
    <x v="12"/>
    <n v="0.21"/>
  </r>
  <r>
    <x v="7"/>
    <x v="1"/>
    <n v="160017"/>
    <x v="12"/>
    <x v="10"/>
    <n v="1.1599999999999999"/>
  </r>
  <r>
    <x v="7"/>
    <x v="1"/>
    <n v="160017"/>
    <x v="12"/>
    <x v="11"/>
    <n v="0.77"/>
  </r>
  <r>
    <x v="7"/>
    <x v="1"/>
    <n v="160017"/>
    <x v="12"/>
    <x v="12"/>
    <n v="0.15"/>
  </r>
  <r>
    <x v="7"/>
    <x v="1"/>
    <n v="122001"/>
    <x v="13"/>
    <x v="10"/>
    <n v="0.78"/>
  </r>
  <r>
    <x v="7"/>
    <x v="1"/>
    <n v="122001"/>
    <x v="13"/>
    <x v="11"/>
    <n v="0.43"/>
  </r>
  <r>
    <x v="7"/>
    <x v="1"/>
    <n v="122001"/>
    <x v="13"/>
    <x v="12"/>
    <n v="0.09"/>
  </r>
  <r>
    <x v="7"/>
    <x v="1"/>
    <n v="492001"/>
    <x v="14"/>
    <x v="10"/>
    <n v="0.48"/>
  </r>
  <r>
    <x v="7"/>
    <x v="1"/>
    <n v="492001"/>
    <x v="14"/>
    <x v="11"/>
    <n v="0.28999999999999998"/>
  </r>
  <r>
    <x v="7"/>
    <x v="1"/>
    <n v="492001"/>
    <x v="14"/>
    <x v="12"/>
    <n v="0.08"/>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00">
  <r>
    <x v="0"/>
    <x v="0"/>
    <n v="400001"/>
    <x v="0"/>
    <x v="0"/>
    <n v="6.26"/>
  </r>
  <r>
    <x v="0"/>
    <x v="0"/>
    <n v="110001"/>
    <x v="1"/>
    <x v="0"/>
    <n v="4.58"/>
  </r>
  <r>
    <x v="0"/>
    <x v="0"/>
    <n v="700001"/>
    <x v="2"/>
    <x v="0"/>
    <n v="4.29"/>
  </r>
  <r>
    <x v="0"/>
    <x v="0"/>
    <n v="560001"/>
    <x v="3"/>
    <x v="0"/>
    <n v="4.26"/>
  </r>
  <r>
    <x v="0"/>
    <x v="0"/>
    <n v="600001"/>
    <x v="4"/>
    <x v="0"/>
    <n v="3.6"/>
  </r>
  <r>
    <x v="0"/>
    <x v="0"/>
    <n v="500001"/>
    <x v="5"/>
    <x v="0"/>
    <n v="3.26"/>
  </r>
  <r>
    <x v="0"/>
    <x v="0"/>
    <n v="411001"/>
    <x v="6"/>
    <x v="0"/>
    <n v="2.27"/>
  </r>
  <r>
    <x v="0"/>
    <x v="0"/>
    <n v="380001"/>
    <x v="7"/>
    <x v="0"/>
    <n v="2.68"/>
  </r>
  <r>
    <x v="0"/>
    <x v="0"/>
    <n v="302001"/>
    <x v="8"/>
    <x v="0"/>
    <n v="2.46"/>
  </r>
  <r>
    <x v="0"/>
    <x v="0"/>
    <n v="226001"/>
    <x v="9"/>
    <x v="0"/>
    <n v="1.64"/>
  </r>
  <r>
    <x v="0"/>
    <x v="0"/>
    <n v="800008"/>
    <x v="10"/>
    <x v="0"/>
    <n v="1.8"/>
  </r>
  <r>
    <x v="0"/>
    <x v="0"/>
    <n v="641001"/>
    <x v="11"/>
    <x v="0"/>
    <n v="0.81"/>
  </r>
  <r>
    <x v="0"/>
    <x v="0"/>
    <n v="160017"/>
    <x v="12"/>
    <x v="0"/>
    <n v="0.73"/>
  </r>
  <r>
    <x v="0"/>
    <x v="0"/>
    <n v="122001"/>
    <x v="13"/>
    <x v="0"/>
    <n v="0.48"/>
  </r>
  <r>
    <x v="0"/>
    <x v="0"/>
    <n v="492001"/>
    <x v="14"/>
    <x v="0"/>
    <n v="0.49"/>
  </r>
  <r>
    <x v="1"/>
    <x v="0"/>
    <n v="400001"/>
    <x v="0"/>
    <x v="0"/>
    <n v="7.86"/>
  </r>
  <r>
    <x v="1"/>
    <x v="0"/>
    <n v="110001"/>
    <x v="1"/>
    <x v="0"/>
    <n v="5.43"/>
  </r>
  <r>
    <x v="1"/>
    <x v="0"/>
    <n v="700001"/>
    <x v="2"/>
    <x v="0"/>
    <n v="5.36"/>
  </r>
  <r>
    <x v="1"/>
    <x v="0"/>
    <n v="560001"/>
    <x v="3"/>
    <x v="0"/>
    <n v="5.47"/>
  </r>
  <r>
    <x v="1"/>
    <x v="0"/>
    <n v="600001"/>
    <x v="4"/>
    <x v="0"/>
    <n v="7.02"/>
  </r>
  <r>
    <x v="1"/>
    <x v="0"/>
    <n v="500001"/>
    <x v="5"/>
    <x v="0"/>
    <n v="4.16"/>
  </r>
  <r>
    <x v="1"/>
    <x v="0"/>
    <n v="411001"/>
    <x v="6"/>
    <x v="0"/>
    <n v="3.44"/>
  </r>
  <r>
    <x v="1"/>
    <x v="0"/>
    <n v="380001"/>
    <x v="7"/>
    <x v="0"/>
    <n v="2.2200000000000002"/>
  </r>
  <r>
    <x v="1"/>
    <x v="0"/>
    <n v="302001"/>
    <x v="8"/>
    <x v="0"/>
    <n v="1.51"/>
  </r>
  <r>
    <x v="1"/>
    <x v="0"/>
    <n v="226001"/>
    <x v="9"/>
    <x v="0"/>
    <n v="3.17"/>
  </r>
  <r>
    <x v="1"/>
    <x v="0"/>
    <n v="800008"/>
    <x v="10"/>
    <x v="0"/>
    <n v="1.4"/>
  </r>
  <r>
    <x v="1"/>
    <x v="0"/>
    <n v="641001"/>
    <x v="11"/>
    <x v="0"/>
    <n v="1.33"/>
  </r>
  <r>
    <x v="1"/>
    <x v="0"/>
    <n v="160017"/>
    <x v="12"/>
    <x v="0"/>
    <n v="0.54"/>
  </r>
  <r>
    <x v="1"/>
    <x v="0"/>
    <n v="122001"/>
    <x v="13"/>
    <x v="0"/>
    <n v="0.9"/>
  </r>
  <r>
    <x v="1"/>
    <x v="0"/>
    <n v="492001"/>
    <x v="14"/>
    <x v="0"/>
    <n v="0.47"/>
  </r>
  <r>
    <x v="2"/>
    <x v="0"/>
    <n v="400001"/>
    <x v="0"/>
    <x v="0"/>
    <n v="5.66"/>
  </r>
  <r>
    <x v="2"/>
    <x v="0"/>
    <n v="110001"/>
    <x v="1"/>
    <x v="0"/>
    <n v="5.84"/>
  </r>
  <r>
    <x v="2"/>
    <x v="0"/>
    <n v="700001"/>
    <x v="2"/>
    <x v="0"/>
    <n v="7.54"/>
  </r>
  <r>
    <x v="2"/>
    <x v="0"/>
    <n v="560001"/>
    <x v="3"/>
    <x v="0"/>
    <n v="4.97"/>
  </r>
  <r>
    <x v="2"/>
    <x v="0"/>
    <n v="600001"/>
    <x v="4"/>
    <x v="0"/>
    <n v="3.33"/>
  </r>
  <r>
    <x v="2"/>
    <x v="0"/>
    <n v="500001"/>
    <x v="5"/>
    <x v="0"/>
    <n v="3.37"/>
  </r>
  <r>
    <x v="2"/>
    <x v="0"/>
    <n v="411001"/>
    <x v="6"/>
    <x v="0"/>
    <n v="4.18"/>
  </r>
  <r>
    <x v="2"/>
    <x v="0"/>
    <n v="380001"/>
    <x v="7"/>
    <x v="0"/>
    <n v="2.99"/>
  </r>
  <r>
    <x v="2"/>
    <x v="0"/>
    <n v="302001"/>
    <x v="8"/>
    <x v="0"/>
    <n v="1.88"/>
  </r>
  <r>
    <x v="2"/>
    <x v="0"/>
    <n v="226001"/>
    <x v="9"/>
    <x v="0"/>
    <n v="1.8"/>
  </r>
  <r>
    <x v="2"/>
    <x v="0"/>
    <n v="800008"/>
    <x v="10"/>
    <x v="0"/>
    <n v="1.06"/>
  </r>
  <r>
    <x v="2"/>
    <x v="0"/>
    <n v="641001"/>
    <x v="11"/>
    <x v="0"/>
    <n v="1.96"/>
  </r>
  <r>
    <x v="2"/>
    <x v="0"/>
    <n v="160017"/>
    <x v="12"/>
    <x v="0"/>
    <n v="0.94"/>
  </r>
  <r>
    <x v="2"/>
    <x v="0"/>
    <n v="122001"/>
    <x v="13"/>
    <x v="0"/>
    <n v="0.66"/>
  </r>
  <r>
    <x v="2"/>
    <x v="0"/>
    <n v="492001"/>
    <x v="14"/>
    <x v="0"/>
    <n v="0.38"/>
  </r>
  <r>
    <x v="3"/>
    <x v="0"/>
    <n v="400001"/>
    <x v="0"/>
    <x v="0"/>
    <n v="5.6"/>
  </r>
  <r>
    <x v="3"/>
    <x v="0"/>
    <n v="110001"/>
    <x v="1"/>
    <x v="0"/>
    <n v="4.66"/>
  </r>
  <r>
    <x v="3"/>
    <x v="0"/>
    <n v="700001"/>
    <x v="2"/>
    <x v="0"/>
    <n v="4.51"/>
  </r>
  <r>
    <x v="3"/>
    <x v="0"/>
    <n v="560001"/>
    <x v="3"/>
    <x v="0"/>
    <n v="5.13"/>
  </r>
  <r>
    <x v="3"/>
    <x v="0"/>
    <n v="600001"/>
    <x v="4"/>
    <x v="0"/>
    <n v="4.53"/>
  </r>
  <r>
    <x v="3"/>
    <x v="0"/>
    <n v="500001"/>
    <x v="5"/>
    <x v="0"/>
    <n v="3.01"/>
  </r>
  <r>
    <x v="3"/>
    <x v="0"/>
    <n v="411001"/>
    <x v="6"/>
    <x v="0"/>
    <n v="5.52"/>
  </r>
  <r>
    <x v="3"/>
    <x v="0"/>
    <n v="380001"/>
    <x v="7"/>
    <x v="0"/>
    <n v="3.45"/>
  </r>
  <r>
    <x v="3"/>
    <x v="0"/>
    <n v="302001"/>
    <x v="8"/>
    <x v="0"/>
    <n v="1.83"/>
  </r>
  <r>
    <x v="3"/>
    <x v="0"/>
    <n v="226001"/>
    <x v="9"/>
    <x v="0"/>
    <n v="1.7"/>
  </r>
  <r>
    <x v="3"/>
    <x v="0"/>
    <n v="800008"/>
    <x v="10"/>
    <x v="0"/>
    <n v="1.48"/>
  </r>
  <r>
    <x v="3"/>
    <x v="0"/>
    <n v="641001"/>
    <x v="11"/>
    <x v="0"/>
    <n v="1.08"/>
  </r>
  <r>
    <x v="3"/>
    <x v="0"/>
    <n v="160017"/>
    <x v="12"/>
    <x v="0"/>
    <n v="1.22"/>
  </r>
  <r>
    <x v="3"/>
    <x v="0"/>
    <n v="122001"/>
    <x v="13"/>
    <x v="0"/>
    <n v="0.64"/>
  </r>
  <r>
    <x v="3"/>
    <x v="0"/>
    <n v="492001"/>
    <x v="14"/>
    <x v="0"/>
    <n v="0.46"/>
  </r>
  <r>
    <x v="4"/>
    <x v="1"/>
    <n v="400001"/>
    <x v="0"/>
    <x v="0"/>
    <n v="9.83"/>
  </r>
  <r>
    <x v="4"/>
    <x v="1"/>
    <n v="110001"/>
    <x v="1"/>
    <x v="0"/>
    <n v="6.18"/>
  </r>
  <r>
    <x v="4"/>
    <x v="1"/>
    <n v="700001"/>
    <x v="2"/>
    <x v="0"/>
    <n v="5.64"/>
  </r>
  <r>
    <x v="4"/>
    <x v="1"/>
    <n v="560001"/>
    <x v="3"/>
    <x v="0"/>
    <n v="5.94"/>
  </r>
  <r>
    <x v="4"/>
    <x v="1"/>
    <n v="600001"/>
    <x v="4"/>
    <x v="0"/>
    <n v="4.63"/>
  </r>
  <r>
    <x v="4"/>
    <x v="1"/>
    <n v="500001"/>
    <x v="5"/>
    <x v="0"/>
    <n v="4.07"/>
  </r>
  <r>
    <x v="4"/>
    <x v="1"/>
    <n v="411001"/>
    <x v="6"/>
    <x v="0"/>
    <n v="3.51"/>
  </r>
  <r>
    <x v="4"/>
    <x v="1"/>
    <n v="380001"/>
    <x v="7"/>
    <x v="0"/>
    <n v="3.07"/>
  </r>
  <r>
    <x v="4"/>
    <x v="1"/>
    <n v="302001"/>
    <x v="8"/>
    <x v="0"/>
    <n v="2.93"/>
  </r>
  <r>
    <x v="4"/>
    <x v="1"/>
    <n v="226001"/>
    <x v="9"/>
    <x v="0"/>
    <n v="1.78"/>
  </r>
  <r>
    <x v="4"/>
    <x v="1"/>
    <n v="800008"/>
    <x v="10"/>
    <x v="0"/>
    <n v="2.61"/>
  </r>
  <r>
    <x v="4"/>
    <x v="1"/>
    <n v="641001"/>
    <x v="11"/>
    <x v="0"/>
    <n v="1.05"/>
  </r>
  <r>
    <x v="4"/>
    <x v="1"/>
    <n v="160017"/>
    <x v="12"/>
    <x v="0"/>
    <n v="0.94"/>
  </r>
  <r>
    <x v="4"/>
    <x v="1"/>
    <n v="122001"/>
    <x v="13"/>
    <x v="0"/>
    <n v="0.73"/>
  </r>
  <r>
    <x v="4"/>
    <x v="1"/>
    <n v="492001"/>
    <x v="14"/>
    <x v="0"/>
    <n v="0.67"/>
  </r>
  <r>
    <x v="5"/>
    <x v="1"/>
    <n v="400001"/>
    <x v="0"/>
    <x v="0"/>
    <n v="8.7100000000000009"/>
  </r>
  <r>
    <x v="5"/>
    <x v="1"/>
    <n v="110001"/>
    <x v="1"/>
    <x v="0"/>
    <n v="8.32"/>
  </r>
  <r>
    <x v="5"/>
    <x v="1"/>
    <n v="700001"/>
    <x v="2"/>
    <x v="0"/>
    <n v="5.59"/>
  </r>
  <r>
    <x v="5"/>
    <x v="1"/>
    <n v="560001"/>
    <x v="3"/>
    <x v="0"/>
    <n v="6.83"/>
  </r>
  <r>
    <x v="5"/>
    <x v="1"/>
    <n v="600001"/>
    <x v="4"/>
    <x v="0"/>
    <n v="9.07"/>
  </r>
  <r>
    <x v="5"/>
    <x v="1"/>
    <n v="500001"/>
    <x v="5"/>
    <x v="0"/>
    <n v="5.83"/>
  </r>
  <r>
    <x v="5"/>
    <x v="1"/>
    <n v="411001"/>
    <x v="6"/>
    <x v="0"/>
    <n v="3.66"/>
  </r>
  <r>
    <x v="5"/>
    <x v="1"/>
    <n v="380001"/>
    <x v="7"/>
    <x v="0"/>
    <n v="2.86"/>
  </r>
  <r>
    <x v="5"/>
    <x v="1"/>
    <n v="302001"/>
    <x v="8"/>
    <x v="0"/>
    <n v="2.2599999999999998"/>
  </r>
  <r>
    <x v="5"/>
    <x v="1"/>
    <n v="226001"/>
    <x v="9"/>
    <x v="0"/>
    <n v="3.37"/>
  </r>
  <r>
    <x v="5"/>
    <x v="1"/>
    <n v="800008"/>
    <x v="10"/>
    <x v="0"/>
    <n v="1.52"/>
  </r>
  <r>
    <x v="5"/>
    <x v="1"/>
    <n v="641001"/>
    <x v="11"/>
    <x v="0"/>
    <n v="1.68"/>
  </r>
  <r>
    <x v="5"/>
    <x v="1"/>
    <n v="160017"/>
    <x v="12"/>
    <x v="0"/>
    <n v="0.92"/>
  </r>
  <r>
    <x v="5"/>
    <x v="1"/>
    <n v="122001"/>
    <x v="13"/>
    <x v="0"/>
    <n v="1.47"/>
  </r>
  <r>
    <x v="5"/>
    <x v="1"/>
    <n v="492001"/>
    <x v="14"/>
    <x v="0"/>
    <n v="0.7"/>
  </r>
  <r>
    <x v="6"/>
    <x v="1"/>
    <n v="400001"/>
    <x v="0"/>
    <x v="0"/>
    <n v="7.68"/>
  </r>
  <r>
    <x v="6"/>
    <x v="1"/>
    <n v="110001"/>
    <x v="1"/>
    <x v="0"/>
    <n v="7.48"/>
  </r>
  <r>
    <x v="6"/>
    <x v="1"/>
    <n v="700001"/>
    <x v="2"/>
    <x v="0"/>
    <n v="11.46"/>
  </r>
  <r>
    <x v="6"/>
    <x v="1"/>
    <n v="560001"/>
    <x v="3"/>
    <x v="0"/>
    <n v="5.99"/>
  </r>
  <r>
    <x v="6"/>
    <x v="1"/>
    <n v="600001"/>
    <x v="4"/>
    <x v="0"/>
    <n v="4.3499999999999996"/>
  </r>
  <r>
    <x v="6"/>
    <x v="1"/>
    <n v="500001"/>
    <x v="5"/>
    <x v="0"/>
    <n v="4.09"/>
  </r>
  <r>
    <x v="6"/>
    <x v="1"/>
    <n v="411001"/>
    <x v="6"/>
    <x v="0"/>
    <n v="4.74"/>
  </r>
  <r>
    <x v="6"/>
    <x v="1"/>
    <n v="380001"/>
    <x v="7"/>
    <x v="0"/>
    <n v="4.54"/>
  </r>
  <r>
    <x v="6"/>
    <x v="1"/>
    <n v="302001"/>
    <x v="8"/>
    <x v="0"/>
    <n v="2.65"/>
  </r>
  <r>
    <x v="6"/>
    <x v="1"/>
    <n v="226001"/>
    <x v="9"/>
    <x v="0"/>
    <n v="2.2999999999999998"/>
  </r>
  <r>
    <x v="6"/>
    <x v="1"/>
    <n v="800008"/>
    <x v="10"/>
    <x v="0"/>
    <n v="1.71"/>
  </r>
  <r>
    <x v="6"/>
    <x v="1"/>
    <n v="641001"/>
    <x v="11"/>
    <x v="0"/>
    <n v="2.44"/>
  </r>
  <r>
    <x v="6"/>
    <x v="1"/>
    <n v="160017"/>
    <x v="12"/>
    <x v="0"/>
    <n v="1.18"/>
  </r>
  <r>
    <x v="6"/>
    <x v="1"/>
    <n v="122001"/>
    <x v="13"/>
    <x v="0"/>
    <n v="0.87"/>
  </r>
  <r>
    <x v="6"/>
    <x v="1"/>
    <n v="492001"/>
    <x v="14"/>
    <x v="0"/>
    <n v="0.54"/>
  </r>
  <r>
    <x v="7"/>
    <x v="1"/>
    <n v="400001"/>
    <x v="0"/>
    <x v="0"/>
    <n v="9.5"/>
  </r>
  <r>
    <x v="7"/>
    <x v="1"/>
    <n v="110001"/>
    <x v="1"/>
    <x v="0"/>
    <n v="7.5"/>
  </r>
  <r>
    <x v="7"/>
    <x v="1"/>
    <n v="700001"/>
    <x v="2"/>
    <x v="0"/>
    <n v="6.92"/>
  </r>
  <r>
    <x v="7"/>
    <x v="1"/>
    <n v="560001"/>
    <x v="3"/>
    <x v="0"/>
    <n v="5.62"/>
  </r>
  <r>
    <x v="7"/>
    <x v="1"/>
    <n v="600001"/>
    <x v="4"/>
    <x v="0"/>
    <n v="4.6399999999999997"/>
  </r>
  <r>
    <x v="7"/>
    <x v="1"/>
    <n v="500001"/>
    <x v="5"/>
    <x v="0"/>
    <n v="4.0199999999999996"/>
  </r>
  <r>
    <x v="7"/>
    <x v="1"/>
    <n v="411001"/>
    <x v="6"/>
    <x v="0"/>
    <n v="7.42"/>
  </r>
  <r>
    <x v="7"/>
    <x v="1"/>
    <n v="380001"/>
    <x v="7"/>
    <x v="0"/>
    <n v="3.73"/>
  </r>
  <r>
    <x v="7"/>
    <x v="1"/>
    <n v="302001"/>
    <x v="8"/>
    <x v="0"/>
    <n v="2.31"/>
  </r>
  <r>
    <x v="7"/>
    <x v="1"/>
    <n v="226001"/>
    <x v="9"/>
    <x v="0"/>
    <n v="2.23"/>
  </r>
  <r>
    <x v="7"/>
    <x v="1"/>
    <n v="800008"/>
    <x v="10"/>
    <x v="0"/>
    <n v="2.04"/>
  </r>
  <r>
    <x v="7"/>
    <x v="1"/>
    <n v="641001"/>
    <x v="11"/>
    <x v="0"/>
    <n v="1.35"/>
  </r>
  <r>
    <x v="7"/>
    <x v="1"/>
    <n v="160017"/>
    <x v="12"/>
    <x v="0"/>
    <n v="1.43"/>
  </r>
  <r>
    <x v="7"/>
    <x v="1"/>
    <n v="122001"/>
    <x v="13"/>
    <x v="0"/>
    <n v="1.02"/>
  </r>
  <r>
    <x v="7"/>
    <x v="1"/>
    <n v="492001"/>
    <x v="14"/>
    <x v="0"/>
    <n v="0.54"/>
  </r>
  <r>
    <x v="0"/>
    <x v="0"/>
    <n v="400001"/>
    <x v="0"/>
    <x v="1"/>
    <n v="4.87"/>
  </r>
  <r>
    <x v="0"/>
    <x v="0"/>
    <n v="110001"/>
    <x v="1"/>
    <x v="1"/>
    <n v="4.01"/>
  </r>
  <r>
    <x v="0"/>
    <x v="0"/>
    <n v="700001"/>
    <x v="2"/>
    <x v="1"/>
    <n v="4.01"/>
  </r>
  <r>
    <x v="0"/>
    <x v="0"/>
    <n v="560001"/>
    <x v="3"/>
    <x v="1"/>
    <n v="3.76"/>
  </r>
  <r>
    <x v="0"/>
    <x v="0"/>
    <n v="600001"/>
    <x v="4"/>
    <x v="1"/>
    <n v="2.82"/>
  </r>
  <r>
    <x v="0"/>
    <x v="0"/>
    <n v="500001"/>
    <x v="5"/>
    <x v="1"/>
    <n v="2.42"/>
  </r>
  <r>
    <x v="0"/>
    <x v="0"/>
    <n v="411001"/>
    <x v="6"/>
    <x v="1"/>
    <n v="2.0499999999999998"/>
  </r>
  <r>
    <x v="0"/>
    <x v="0"/>
    <n v="380001"/>
    <x v="7"/>
    <x v="1"/>
    <n v="1.92"/>
  </r>
  <r>
    <x v="0"/>
    <x v="0"/>
    <n v="302001"/>
    <x v="8"/>
    <x v="1"/>
    <n v="1.98"/>
  </r>
  <r>
    <x v="0"/>
    <x v="0"/>
    <n v="226001"/>
    <x v="9"/>
    <x v="1"/>
    <n v="1.22"/>
  </r>
  <r>
    <x v="0"/>
    <x v="0"/>
    <n v="800008"/>
    <x v="10"/>
    <x v="1"/>
    <n v="1.53"/>
  </r>
  <r>
    <x v="0"/>
    <x v="0"/>
    <n v="641001"/>
    <x v="11"/>
    <x v="1"/>
    <n v="0.57999999999999996"/>
  </r>
  <r>
    <x v="0"/>
    <x v="0"/>
    <n v="160017"/>
    <x v="12"/>
    <x v="1"/>
    <n v="0.61"/>
  </r>
  <r>
    <x v="0"/>
    <x v="0"/>
    <n v="122001"/>
    <x v="13"/>
    <x v="1"/>
    <n v="0.42"/>
  </r>
  <r>
    <x v="0"/>
    <x v="0"/>
    <n v="492001"/>
    <x v="14"/>
    <x v="1"/>
    <n v="0.35"/>
  </r>
  <r>
    <x v="1"/>
    <x v="0"/>
    <n v="400001"/>
    <x v="0"/>
    <x v="1"/>
    <n v="5.64"/>
  </r>
  <r>
    <x v="1"/>
    <x v="0"/>
    <n v="110001"/>
    <x v="1"/>
    <x v="1"/>
    <n v="4.7699999999999996"/>
  </r>
  <r>
    <x v="1"/>
    <x v="0"/>
    <n v="700001"/>
    <x v="2"/>
    <x v="1"/>
    <n v="4.59"/>
  </r>
  <r>
    <x v="1"/>
    <x v="0"/>
    <n v="560001"/>
    <x v="3"/>
    <x v="1"/>
    <n v="4.7699999999999996"/>
  </r>
  <r>
    <x v="1"/>
    <x v="0"/>
    <n v="600001"/>
    <x v="4"/>
    <x v="1"/>
    <n v="5.95"/>
  </r>
  <r>
    <x v="1"/>
    <x v="0"/>
    <n v="500001"/>
    <x v="5"/>
    <x v="1"/>
    <n v="3.12"/>
  </r>
  <r>
    <x v="1"/>
    <x v="0"/>
    <n v="411001"/>
    <x v="6"/>
    <x v="1"/>
    <n v="2.66"/>
  </r>
  <r>
    <x v="1"/>
    <x v="0"/>
    <n v="380001"/>
    <x v="7"/>
    <x v="1"/>
    <n v="1.62"/>
  </r>
  <r>
    <x v="1"/>
    <x v="0"/>
    <n v="302001"/>
    <x v="8"/>
    <x v="1"/>
    <n v="1.21"/>
  </r>
  <r>
    <x v="1"/>
    <x v="0"/>
    <n v="226001"/>
    <x v="9"/>
    <x v="1"/>
    <n v="2.8"/>
  </r>
  <r>
    <x v="1"/>
    <x v="0"/>
    <n v="800008"/>
    <x v="10"/>
    <x v="1"/>
    <n v="1.06"/>
  </r>
  <r>
    <x v="1"/>
    <x v="0"/>
    <n v="641001"/>
    <x v="11"/>
    <x v="1"/>
    <n v="1.03"/>
  </r>
  <r>
    <x v="1"/>
    <x v="0"/>
    <n v="160017"/>
    <x v="12"/>
    <x v="1"/>
    <n v="0.51"/>
  </r>
  <r>
    <x v="1"/>
    <x v="0"/>
    <n v="122001"/>
    <x v="13"/>
    <x v="1"/>
    <n v="0.79"/>
  </r>
  <r>
    <x v="1"/>
    <x v="0"/>
    <n v="492001"/>
    <x v="14"/>
    <x v="1"/>
    <n v="0.4"/>
  </r>
  <r>
    <x v="2"/>
    <x v="0"/>
    <n v="400001"/>
    <x v="0"/>
    <x v="1"/>
    <n v="4.93"/>
  </r>
  <r>
    <x v="2"/>
    <x v="0"/>
    <n v="110001"/>
    <x v="1"/>
    <x v="1"/>
    <n v="4.38"/>
  </r>
  <r>
    <x v="2"/>
    <x v="0"/>
    <n v="700001"/>
    <x v="2"/>
    <x v="1"/>
    <n v="6.21"/>
  </r>
  <r>
    <x v="2"/>
    <x v="0"/>
    <n v="560001"/>
    <x v="3"/>
    <x v="1"/>
    <n v="4.51"/>
  </r>
  <r>
    <x v="2"/>
    <x v="0"/>
    <n v="600001"/>
    <x v="4"/>
    <x v="1"/>
    <n v="2.5"/>
  </r>
  <r>
    <x v="2"/>
    <x v="0"/>
    <n v="500001"/>
    <x v="5"/>
    <x v="1"/>
    <n v="2.7"/>
  </r>
  <r>
    <x v="2"/>
    <x v="0"/>
    <n v="411001"/>
    <x v="6"/>
    <x v="1"/>
    <n v="3.19"/>
  </r>
  <r>
    <x v="2"/>
    <x v="0"/>
    <n v="380001"/>
    <x v="7"/>
    <x v="1"/>
    <n v="2.89"/>
  </r>
  <r>
    <x v="2"/>
    <x v="0"/>
    <n v="302001"/>
    <x v="8"/>
    <x v="1"/>
    <n v="1.52"/>
  </r>
  <r>
    <x v="2"/>
    <x v="0"/>
    <n v="226001"/>
    <x v="9"/>
    <x v="1"/>
    <n v="1.42"/>
  </r>
  <r>
    <x v="2"/>
    <x v="0"/>
    <n v="800008"/>
    <x v="10"/>
    <x v="1"/>
    <n v="0.91"/>
  </r>
  <r>
    <x v="2"/>
    <x v="0"/>
    <n v="641001"/>
    <x v="11"/>
    <x v="1"/>
    <n v="1.72"/>
  </r>
  <r>
    <x v="2"/>
    <x v="0"/>
    <n v="160017"/>
    <x v="12"/>
    <x v="1"/>
    <n v="0.85"/>
  </r>
  <r>
    <x v="2"/>
    <x v="0"/>
    <n v="122001"/>
    <x v="13"/>
    <x v="1"/>
    <n v="0.5"/>
  </r>
  <r>
    <x v="2"/>
    <x v="0"/>
    <n v="492001"/>
    <x v="14"/>
    <x v="1"/>
    <n v="0.33"/>
  </r>
  <r>
    <x v="3"/>
    <x v="0"/>
    <n v="400001"/>
    <x v="0"/>
    <x v="1"/>
    <n v="5.09"/>
  </r>
  <r>
    <x v="3"/>
    <x v="0"/>
    <n v="110001"/>
    <x v="1"/>
    <x v="1"/>
    <n v="3.83"/>
  </r>
  <r>
    <x v="3"/>
    <x v="0"/>
    <n v="700001"/>
    <x v="2"/>
    <x v="1"/>
    <n v="4.3600000000000003"/>
  </r>
  <r>
    <x v="3"/>
    <x v="0"/>
    <n v="560001"/>
    <x v="3"/>
    <x v="1"/>
    <n v="4.22"/>
  </r>
  <r>
    <x v="3"/>
    <x v="0"/>
    <n v="600001"/>
    <x v="4"/>
    <x v="1"/>
    <n v="3.31"/>
  </r>
  <r>
    <x v="3"/>
    <x v="0"/>
    <n v="500001"/>
    <x v="5"/>
    <x v="1"/>
    <n v="2.2200000000000002"/>
  </r>
  <r>
    <x v="3"/>
    <x v="0"/>
    <n v="411001"/>
    <x v="6"/>
    <x v="1"/>
    <n v="4.71"/>
  </r>
  <r>
    <x v="3"/>
    <x v="0"/>
    <n v="380001"/>
    <x v="7"/>
    <x v="1"/>
    <n v="2.56"/>
  </r>
  <r>
    <x v="3"/>
    <x v="0"/>
    <n v="302001"/>
    <x v="8"/>
    <x v="1"/>
    <n v="1.36"/>
  </r>
  <r>
    <x v="3"/>
    <x v="0"/>
    <n v="226001"/>
    <x v="9"/>
    <x v="1"/>
    <n v="1.25"/>
  </r>
  <r>
    <x v="3"/>
    <x v="0"/>
    <n v="800008"/>
    <x v="10"/>
    <x v="1"/>
    <n v="1.05"/>
  </r>
  <r>
    <x v="3"/>
    <x v="0"/>
    <n v="641001"/>
    <x v="11"/>
    <x v="1"/>
    <n v="0.92"/>
  </r>
  <r>
    <x v="3"/>
    <x v="0"/>
    <n v="160017"/>
    <x v="12"/>
    <x v="1"/>
    <n v="1.01"/>
  </r>
  <r>
    <x v="3"/>
    <x v="0"/>
    <n v="122001"/>
    <x v="13"/>
    <x v="1"/>
    <n v="0.52"/>
  </r>
  <r>
    <x v="3"/>
    <x v="0"/>
    <n v="492001"/>
    <x v="14"/>
    <x v="1"/>
    <n v="0.36"/>
  </r>
  <r>
    <x v="4"/>
    <x v="1"/>
    <n v="400001"/>
    <x v="0"/>
    <x v="1"/>
    <n v="6.47"/>
  </r>
  <r>
    <x v="4"/>
    <x v="1"/>
    <n v="110001"/>
    <x v="1"/>
    <x v="1"/>
    <n v="3.68"/>
  </r>
  <r>
    <x v="4"/>
    <x v="1"/>
    <n v="700001"/>
    <x v="2"/>
    <x v="1"/>
    <n v="3.09"/>
  </r>
  <r>
    <x v="4"/>
    <x v="1"/>
    <n v="560001"/>
    <x v="3"/>
    <x v="1"/>
    <n v="4.0199999999999996"/>
  </r>
  <r>
    <x v="4"/>
    <x v="1"/>
    <n v="600001"/>
    <x v="4"/>
    <x v="1"/>
    <n v="2.91"/>
  </r>
  <r>
    <x v="4"/>
    <x v="1"/>
    <n v="500001"/>
    <x v="5"/>
    <x v="1"/>
    <n v="2.64"/>
  </r>
  <r>
    <x v="4"/>
    <x v="1"/>
    <n v="411001"/>
    <x v="6"/>
    <x v="1"/>
    <n v="2.16"/>
  </r>
  <r>
    <x v="4"/>
    <x v="1"/>
    <n v="380001"/>
    <x v="7"/>
    <x v="1"/>
    <n v="2.1"/>
  </r>
  <r>
    <x v="4"/>
    <x v="1"/>
    <n v="302001"/>
    <x v="8"/>
    <x v="1"/>
    <n v="2.12"/>
  </r>
  <r>
    <x v="4"/>
    <x v="1"/>
    <n v="226001"/>
    <x v="9"/>
    <x v="1"/>
    <n v="0.99"/>
  </r>
  <r>
    <x v="4"/>
    <x v="1"/>
    <n v="800008"/>
    <x v="10"/>
    <x v="1"/>
    <n v="1.57"/>
  </r>
  <r>
    <x v="4"/>
    <x v="1"/>
    <n v="641001"/>
    <x v="11"/>
    <x v="1"/>
    <n v="0.72"/>
  </r>
  <r>
    <x v="4"/>
    <x v="1"/>
    <n v="160017"/>
    <x v="12"/>
    <x v="1"/>
    <n v="0.64"/>
  </r>
  <r>
    <x v="4"/>
    <x v="1"/>
    <n v="122001"/>
    <x v="13"/>
    <x v="1"/>
    <n v="0.47"/>
  </r>
  <r>
    <x v="4"/>
    <x v="1"/>
    <n v="492001"/>
    <x v="14"/>
    <x v="1"/>
    <n v="0.41"/>
  </r>
  <r>
    <x v="5"/>
    <x v="1"/>
    <n v="400001"/>
    <x v="0"/>
    <x v="1"/>
    <n v="5.81"/>
  </r>
  <r>
    <x v="5"/>
    <x v="1"/>
    <n v="110001"/>
    <x v="1"/>
    <x v="1"/>
    <n v="4.79"/>
  </r>
  <r>
    <x v="5"/>
    <x v="1"/>
    <n v="700001"/>
    <x v="2"/>
    <x v="1"/>
    <n v="3.41"/>
  </r>
  <r>
    <x v="5"/>
    <x v="1"/>
    <n v="560001"/>
    <x v="3"/>
    <x v="1"/>
    <n v="4.3899999999999997"/>
  </r>
  <r>
    <x v="5"/>
    <x v="1"/>
    <n v="600001"/>
    <x v="4"/>
    <x v="1"/>
    <n v="5.09"/>
  </r>
  <r>
    <x v="5"/>
    <x v="1"/>
    <n v="500001"/>
    <x v="5"/>
    <x v="1"/>
    <n v="3.12"/>
  </r>
  <r>
    <x v="5"/>
    <x v="1"/>
    <n v="411001"/>
    <x v="6"/>
    <x v="1"/>
    <n v="2.44"/>
  </r>
  <r>
    <x v="5"/>
    <x v="1"/>
    <n v="380001"/>
    <x v="7"/>
    <x v="1"/>
    <n v="2.06"/>
  </r>
  <r>
    <x v="5"/>
    <x v="1"/>
    <n v="302001"/>
    <x v="8"/>
    <x v="1"/>
    <n v="1.38"/>
  </r>
  <r>
    <x v="5"/>
    <x v="1"/>
    <n v="226001"/>
    <x v="9"/>
    <x v="1"/>
    <n v="2.2799999999999998"/>
  </r>
  <r>
    <x v="5"/>
    <x v="1"/>
    <n v="800008"/>
    <x v="10"/>
    <x v="1"/>
    <n v="0.92"/>
  </r>
  <r>
    <x v="5"/>
    <x v="1"/>
    <n v="641001"/>
    <x v="11"/>
    <x v="1"/>
    <n v="1.1200000000000001"/>
  </r>
  <r>
    <x v="5"/>
    <x v="1"/>
    <n v="160017"/>
    <x v="12"/>
    <x v="1"/>
    <n v="0.56000000000000005"/>
  </r>
  <r>
    <x v="5"/>
    <x v="1"/>
    <n v="122001"/>
    <x v="13"/>
    <x v="1"/>
    <n v="0.96"/>
  </r>
  <r>
    <x v="5"/>
    <x v="1"/>
    <n v="492001"/>
    <x v="14"/>
    <x v="1"/>
    <n v="0.46"/>
  </r>
  <r>
    <x v="6"/>
    <x v="1"/>
    <n v="400001"/>
    <x v="0"/>
    <x v="1"/>
    <n v="5.26"/>
  </r>
  <r>
    <x v="6"/>
    <x v="1"/>
    <n v="110001"/>
    <x v="1"/>
    <x v="1"/>
    <n v="4.49"/>
  </r>
  <r>
    <x v="6"/>
    <x v="1"/>
    <n v="700001"/>
    <x v="2"/>
    <x v="1"/>
    <n v="6.82"/>
  </r>
  <r>
    <x v="6"/>
    <x v="1"/>
    <n v="560001"/>
    <x v="3"/>
    <x v="1"/>
    <n v="4.16"/>
  </r>
  <r>
    <x v="6"/>
    <x v="1"/>
    <n v="600001"/>
    <x v="4"/>
    <x v="1"/>
    <n v="3.26"/>
  </r>
  <r>
    <x v="6"/>
    <x v="1"/>
    <n v="500001"/>
    <x v="5"/>
    <x v="1"/>
    <n v="2.76"/>
  </r>
  <r>
    <x v="6"/>
    <x v="1"/>
    <n v="411001"/>
    <x v="6"/>
    <x v="1"/>
    <n v="2.6"/>
  </r>
  <r>
    <x v="6"/>
    <x v="1"/>
    <n v="380001"/>
    <x v="7"/>
    <x v="1"/>
    <n v="2.54"/>
  </r>
  <r>
    <x v="6"/>
    <x v="1"/>
    <n v="302001"/>
    <x v="8"/>
    <x v="1"/>
    <n v="1.52"/>
  </r>
  <r>
    <x v="6"/>
    <x v="1"/>
    <n v="226001"/>
    <x v="9"/>
    <x v="1"/>
    <n v="1.57"/>
  </r>
  <r>
    <x v="6"/>
    <x v="1"/>
    <n v="800008"/>
    <x v="10"/>
    <x v="1"/>
    <n v="0.98"/>
  </r>
  <r>
    <x v="6"/>
    <x v="1"/>
    <n v="641001"/>
    <x v="11"/>
    <x v="1"/>
    <n v="1.63"/>
  </r>
  <r>
    <x v="6"/>
    <x v="1"/>
    <n v="160017"/>
    <x v="12"/>
    <x v="1"/>
    <n v="0.66"/>
  </r>
  <r>
    <x v="6"/>
    <x v="1"/>
    <n v="122001"/>
    <x v="13"/>
    <x v="1"/>
    <n v="0.56999999999999995"/>
  </r>
  <r>
    <x v="6"/>
    <x v="1"/>
    <n v="492001"/>
    <x v="14"/>
    <x v="1"/>
    <n v="0.37"/>
  </r>
  <r>
    <x v="7"/>
    <x v="1"/>
    <n v="400001"/>
    <x v="0"/>
    <x v="1"/>
    <n v="5.46"/>
  </r>
  <r>
    <x v="7"/>
    <x v="1"/>
    <n v="110001"/>
    <x v="1"/>
    <x v="1"/>
    <n v="5.47"/>
  </r>
  <r>
    <x v="7"/>
    <x v="1"/>
    <n v="700001"/>
    <x v="2"/>
    <x v="1"/>
    <n v="4.32"/>
  </r>
  <r>
    <x v="7"/>
    <x v="1"/>
    <n v="560001"/>
    <x v="3"/>
    <x v="1"/>
    <n v="3.85"/>
  </r>
  <r>
    <x v="7"/>
    <x v="1"/>
    <n v="600001"/>
    <x v="4"/>
    <x v="1"/>
    <n v="2.6"/>
  </r>
  <r>
    <x v="7"/>
    <x v="1"/>
    <n v="500001"/>
    <x v="5"/>
    <x v="1"/>
    <n v="2.34"/>
  </r>
  <r>
    <x v="7"/>
    <x v="1"/>
    <n v="411001"/>
    <x v="6"/>
    <x v="1"/>
    <n v="4.16"/>
  </r>
  <r>
    <x v="7"/>
    <x v="1"/>
    <n v="380001"/>
    <x v="7"/>
    <x v="1"/>
    <n v="2.08"/>
  </r>
  <r>
    <x v="7"/>
    <x v="1"/>
    <n v="302001"/>
    <x v="8"/>
    <x v="1"/>
    <n v="1.48"/>
  </r>
  <r>
    <x v="7"/>
    <x v="1"/>
    <n v="226001"/>
    <x v="9"/>
    <x v="1"/>
    <n v="1.31"/>
  </r>
  <r>
    <x v="7"/>
    <x v="1"/>
    <n v="800008"/>
    <x v="10"/>
    <x v="1"/>
    <n v="1.07"/>
  </r>
  <r>
    <x v="7"/>
    <x v="1"/>
    <n v="641001"/>
    <x v="11"/>
    <x v="1"/>
    <n v="0.78"/>
  </r>
  <r>
    <x v="7"/>
    <x v="1"/>
    <n v="160017"/>
    <x v="12"/>
    <x v="1"/>
    <n v="0.89"/>
  </r>
  <r>
    <x v="7"/>
    <x v="1"/>
    <n v="122001"/>
    <x v="13"/>
    <x v="1"/>
    <n v="0.54"/>
  </r>
  <r>
    <x v="7"/>
    <x v="1"/>
    <n v="492001"/>
    <x v="14"/>
    <x v="1"/>
    <n v="0.41"/>
  </r>
  <r>
    <x v="0"/>
    <x v="0"/>
    <n v="400001"/>
    <x v="0"/>
    <x v="2"/>
    <n v="4.17"/>
  </r>
  <r>
    <x v="0"/>
    <x v="0"/>
    <n v="110001"/>
    <x v="1"/>
    <x v="2"/>
    <n v="4.01"/>
  </r>
  <r>
    <x v="0"/>
    <x v="0"/>
    <n v="700001"/>
    <x v="2"/>
    <x v="2"/>
    <n v="3.88"/>
  </r>
  <r>
    <x v="0"/>
    <x v="0"/>
    <n v="560001"/>
    <x v="3"/>
    <x v="2"/>
    <n v="3.01"/>
  </r>
  <r>
    <x v="0"/>
    <x v="0"/>
    <n v="600001"/>
    <x v="4"/>
    <x v="2"/>
    <n v="2.5299999999999998"/>
  </r>
  <r>
    <x v="0"/>
    <x v="0"/>
    <n v="500001"/>
    <x v="5"/>
    <x v="2"/>
    <n v="2.09"/>
  </r>
  <r>
    <x v="0"/>
    <x v="0"/>
    <n v="411001"/>
    <x v="6"/>
    <x v="2"/>
    <n v="2.0499999999999998"/>
  </r>
  <r>
    <x v="0"/>
    <x v="0"/>
    <n v="380001"/>
    <x v="7"/>
    <x v="2"/>
    <n v="1.79"/>
  </r>
  <r>
    <x v="0"/>
    <x v="0"/>
    <n v="302001"/>
    <x v="8"/>
    <x v="2"/>
    <n v="1.64"/>
  </r>
  <r>
    <x v="0"/>
    <x v="0"/>
    <n v="226001"/>
    <x v="9"/>
    <x v="2"/>
    <n v="1.18"/>
  </r>
  <r>
    <x v="0"/>
    <x v="0"/>
    <n v="800008"/>
    <x v="10"/>
    <x v="2"/>
    <n v="1.53"/>
  </r>
  <r>
    <x v="0"/>
    <x v="0"/>
    <n v="641001"/>
    <x v="11"/>
    <x v="2"/>
    <n v="0.49"/>
  </r>
  <r>
    <x v="0"/>
    <x v="0"/>
    <n v="160017"/>
    <x v="12"/>
    <x v="2"/>
    <n v="0.53"/>
  </r>
  <r>
    <x v="0"/>
    <x v="0"/>
    <n v="122001"/>
    <x v="13"/>
    <x v="2"/>
    <n v="0.45"/>
  </r>
  <r>
    <x v="0"/>
    <x v="0"/>
    <n v="492001"/>
    <x v="14"/>
    <x v="2"/>
    <n v="0.28999999999999998"/>
  </r>
  <r>
    <x v="1"/>
    <x v="0"/>
    <n v="400001"/>
    <x v="0"/>
    <x v="2"/>
    <n v="4.63"/>
  </r>
  <r>
    <x v="1"/>
    <x v="0"/>
    <n v="110001"/>
    <x v="1"/>
    <x v="2"/>
    <n v="3.62"/>
  </r>
  <r>
    <x v="1"/>
    <x v="0"/>
    <n v="700001"/>
    <x v="2"/>
    <x v="2"/>
    <n v="3.37"/>
  </r>
  <r>
    <x v="1"/>
    <x v="0"/>
    <n v="560001"/>
    <x v="3"/>
    <x v="2"/>
    <n v="3.88"/>
  </r>
  <r>
    <x v="1"/>
    <x v="0"/>
    <n v="600001"/>
    <x v="4"/>
    <x v="2"/>
    <n v="5.0999999999999996"/>
  </r>
  <r>
    <x v="1"/>
    <x v="0"/>
    <n v="500001"/>
    <x v="5"/>
    <x v="2"/>
    <n v="3.01"/>
  </r>
  <r>
    <x v="1"/>
    <x v="0"/>
    <n v="411001"/>
    <x v="6"/>
    <x v="2"/>
    <n v="2.75"/>
  </r>
  <r>
    <x v="1"/>
    <x v="0"/>
    <n v="380001"/>
    <x v="7"/>
    <x v="2"/>
    <n v="1.62"/>
  </r>
  <r>
    <x v="1"/>
    <x v="0"/>
    <n v="302001"/>
    <x v="8"/>
    <x v="2"/>
    <n v="0.95"/>
  </r>
  <r>
    <x v="1"/>
    <x v="0"/>
    <n v="226001"/>
    <x v="9"/>
    <x v="2"/>
    <n v="2.33"/>
  </r>
  <r>
    <x v="1"/>
    <x v="0"/>
    <n v="800008"/>
    <x v="10"/>
    <x v="2"/>
    <n v="1.02"/>
  </r>
  <r>
    <x v="1"/>
    <x v="0"/>
    <n v="641001"/>
    <x v="11"/>
    <x v="2"/>
    <n v="1.1100000000000001"/>
  </r>
  <r>
    <x v="1"/>
    <x v="0"/>
    <n v="160017"/>
    <x v="12"/>
    <x v="2"/>
    <n v="0.51"/>
  </r>
  <r>
    <x v="1"/>
    <x v="0"/>
    <n v="122001"/>
    <x v="13"/>
    <x v="2"/>
    <n v="0.66"/>
  </r>
  <r>
    <x v="1"/>
    <x v="0"/>
    <n v="492001"/>
    <x v="14"/>
    <x v="2"/>
    <n v="0.34"/>
  </r>
  <r>
    <x v="2"/>
    <x v="0"/>
    <n v="400001"/>
    <x v="0"/>
    <x v="2"/>
    <n v="4.5599999999999996"/>
  </r>
  <r>
    <x v="2"/>
    <x v="0"/>
    <n v="110001"/>
    <x v="1"/>
    <x v="2"/>
    <n v="3.9"/>
  </r>
  <r>
    <x v="2"/>
    <x v="0"/>
    <n v="700001"/>
    <x v="2"/>
    <x v="2"/>
    <n v="5.99"/>
  </r>
  <r>
    <x v="2"/>
    <x v="0"/>
    <n v="560001"/>
    <x v="3"/>
    <x v="2"/>
    <n v="3.88"/>
  </r>
  <r>
    <x v="2"/>
    <x v="0"/>
    <n v="600001"/>
    <x v="4"/>
    <x v="2"/>
    <n v="2.59"/>
  </r>
  <r>
    <x v="2"/>
    <x v="0"/>
    <n v="500001"/>
    <x v="5"/>
    <x v="2"/>
    <n v="2.41"/>
  </r>
  <r>
    <x v="2"/>
    <x v="0"/>
    <n v="411001"/>
    <x v="6"/>
    <x v="2"/>
    <n v="2.64"/>
  </r>
  <r>
    <x v="2"/>
    <x v="0"/>
    <n v="380001"/>
    <x v="7"/>
    <x v="2"/>
    <n v="2.8"/>
  </r>
  <r>
    <x v="2"/>
    <x v="0"/>
    <n v="302001"/>
    <x v="8"/>
    <x v="2"/>
    <n v="1.46"/>
  </r>
  <r>
    <x v="2"/>
    <x v="0"/>
    <n v="226001"/>
    <x v="9"/>
    <x v="2"/>
    <n v="1.23"/>
  </r>
  <r>
    <x v="2"/>
    <x v="0"/>
    <n v="800008"/>
    <x v="10"/>
    <x v="2"/>
    <n v="0.78"/>
  </r>
  <r>
    <x v="2"/>
    <x v="0"/>
    <n v="641001"/>
    <x v="11"/>
    <x v="2"/>
    <n v="1.61"/>
  </r>
  <r>
    <x v="2"/>
    <x v="0"/>
    <n v="160017"/>
    <x v="12"/>
    <x v="2"/>
    <n v="0.65"/>
  </r>
  <r>
    <x v="2"/>
    <x v="0"/>
    <n v="122001"/>
    <x v="13"/>
    <x v="2"/>
    <n v="0.53"/>
  </r>
  <r>
    <x v="2"/>
    <x v="0"/>
    <n v="492001"/>
    <x v="14"/>
    <x v="2"/>
    <n v="0.28999999999999998"/>
  </r>
  <r>
    <x v="3"/>
    <x v="0"/>
    <n v="400001"/>
    <x v="0"/>
    <x v="2"/>
    <n v="3.73"/>
  </r>
  <r>
    <x v="3"/>
    <x v="0"/>
    <n v="110001"/>
    <x v="1"/>
    <x v="2"/>
    <n v="3.15"/>
  </r>
  <r>
    <x v="3"/>
    <x v="0"/>
    <n v="700001"/>
    <x v="2"/>
    <x v="2"/>
    <n v="3.34"/>
  </r>
  <r>
    <x v="3"/>
    <x v="0"/>
    <n v="560001"/>
    <x v="3"/>
    <x v="2"/>
    <n v="3.62"/>
  </r>
  <r>
    <x v="3"/>
    <x v="0"/>
    <n v="600001"/>
    <x v="4"/>
    <x v="2"/>
    <n v="3.31"/>
  </r>
  <r>
    <x v="3"/>
    <x v="0"/>
    <n v="500001"/>
    <x v="5"/>
    <x v="2"/>
    <n v="2.06"/>
  </r>
  <r>
    <x v="3"/>
    <x v="0"/>
    <n v="411001"/>
    <x v="6"/>
    <x v="2"/>
    <n v="4.22"/>
  </r>
  <r>
    <x v="3"/>
    <x v="0"/>
    <n v="380001"/>
    <x v="7"/>
    <x v="2"/>
    <n v="2.48"/>
  </r>
  <r>
    <x v="3"/>
    <x v="0"/>
    <n v="302001"/>
    <x v="8"/>
    <x v="2"/>
    <n v="1.22"/>
  </r>
  <r>
    <x v="3"/>
    <x v="0"/>
    <n v="226001"/>
    <x v="9"/>
    <x v="2"/>
    <n v="1.3"/>
  </r>
  <r>
    <x v="3"/>
    <x v="0"/>
    <n v="800008"/>
    <x v="10"/>
    <x v="2"/>
    <n v="1.0900000000000001"/>
  </r>
  <r>
    <x v="3"/>
    <x v="0"/>
    <n v="641001"/>
    <x v="11"/>
    <x v="2"/>
    <n v="0.76"/>
  </r>
  <r>
    <x v="3"/>
    <x v="0"/>
    <n v="160017"/>
    <x v="12"/>
    <x v="2"/>
    <n v="0.94"/>
  </r>
  <r>
    <x v="3"/>
    <x v="0"/>
    <n v="122001"/>
    <x v="13"/>
    <x v="2"/>
    <n v="0.45"/>
  </r>
  <r>
    <x v="3"/>
    <x v="0"/>
    <n v="492001"/>
    <x v="14"/>
    <x v="2"/>
    <n v="0.4"/>
  </r>
  <r>
    <x v="4"/>
    <x v="1"/>
    <n v="400001"/>
    <x v="0"/>
    <x v="2"/>
    <n v="5.95"/>
  </r>
  <r>
    <x v="4"/>
    <x v="1"/>
    <n v="110001"/>
    <x v="1"/>
    <x v="2"/>
    <n v="3.53"/>
  </r>
  <r>
    <x v="4"/>
    <x v="1"/>
    <n v="700001"/>
    <x v="2"/>
    <x v="2"/>
    <n v="2.95"/>
  </r>
  <r>
    <x v="4"/>
    <x v="1"/>
    <n v="560001"/>
    <x v="3"/>
    <x v="2"/>
    <n v="3.37"/>
  </r>
  <r>
    <x v="4"/>
    <x v="1"/>
    <n v="600001"/>
    <x v="4"/>
    <x v="2"/>
    <n v="3.04"/>
  </r>
  <r>
    <x v="4"/>
    <x v="1"/>
    <n v="500001"/>
    <x v="5"/>
    <x v="2"/>
    <n v="2.5299999999999998"/>
  </r>
  <r>
    <x v="4"/>
    <x v="1"/>
    <n v="411001"/>
    <x v="6"/>
    <x v="2"/>
    <n v="1.71"/>
  </r>
  <r>
    <x v="4"/>
    <x v="1"/>
    <n v="380001"/>
    <x v="7"/>
    <x v="2"/>
    <n v="1.53"/>
  </r>
  <r>
    <x v="4"/>
    <x v="1"/>
    <n v="302001"/>
    <x v="8"/>
    <x v="2"/>
    <n v="1.71"/>
  </r>
  <r>
    <x v="4"/>
    <x v="1"/>
    <n v="226001"/>
    <x v="9"/>
    <x v="2"/>
    <n v="0.99"/>
  </r>
  <r>
    <x v="4"/>
    <x v="1"/>
    <n v="800008"/>
    <x v="10"/>
    <x v="2"/>
    <n v="1.24"/>
  </r>
  <r>
    <x v="4"/>
    <x v="1"/>
    <n v="641001"/>
    <x v="11"/>
    <x v="2"/>
    <n v="0.5"/>
  </r>
  <r>
    <x v="4"/>
    <x v="1"/>
    <n v="160017"/>
    <x v="12"/>
    <x v="2"/>
    <n v="0.5"/>
  </r>
  <r>
    <x v="4"/>
    <x v="1"/>
    <n v="122001"/>
    <x v="13"/>
    <x v="2"/>
    <n v="0.45"/>
  </r>
  <r>
    <x v="4"/>
    <x v="1"/>
    <n v="492001"/>
    <x v="14"/>
    <x v="2"/>
    <n v="0.41"/>
  </r>
  <r>
    <x v="5"/>
    <x v="1"/>
    <n v="400001"/>
    <x v="0"/>
    <x v="2"/>
    <n v="5.36"/>
  </r>
  <r>
    <x v="5"/>
    <x v="1"/>
    <n v="110001"/>
    <x v="1"/>
    <x v="2"/>
    <n v="4.79"/>
  </r>
  <r>
    <x v="5"/>
    <x v="1"/>
    <n v="700001"/>
    <x v="2"/>
    <x v="2"/>
    <n v="2.86"/>
  </r>
  <r>
    <x v="5"/>
    <x v="1"/>
    <n v="560001"/>
    <x v="3"/>
    <x v="2"/>
    <n v="3.91"/>
  </r>
  <r>
    <x v="5"/>
    <x v="1"/>
    <n v="600001"/>
    <x v="4"/>
    <x v="2"/>
    <n v="3.98"/>
  </r>
  <r>
    <x v="5"/>
    <x v="1"/>
    <n v="500001"/>
    <x v="5"/>
    <x v="2"/>
    <n v="3.12"/>
  </r>
  <r>
    <x v="5"/>
    <x v="1"/>
    <n v="411001"/>
    <x v="6"/>
    <x v="2"/>
    <n v="2.14"/>
  </r>
  <r>
    <x v="5"/>
    <x v="1"/>
    <n v="380001"/>
    <x v="7"/>
    <x v="2"/>
    <n v="1.59"/>
  </r>
  <r>
    <x v="5"/>
    <x v="1"/>
    <n v="302001"/>
    <x v="8"/>
    <x v="2"/>
    <n v="1.05"/>
  </r>
  <r>
    <x v="5"/>
    <x v="1"/>
    <n v="226001"/>
    <x v="9"/>
    <x v="2"/>
    <n v="1.64"/>
  </r>
  <r>
    <x v="5"/>
    <x v="1"/>
    <n v="800008"/>
    <x v="10"/>
    <x v="2"/>
    <n v="0.8"/>
  </r>
  <r>
    <x v="5"/>
    <x v="1"/>
    <n v="641001"/>
    <x v="11"/>
    <x v="2"/>
    <n v="1.07"/>
  </r>
  <r>
    <x v="5"/>
    <x v="1"/>
    <n v="160017"/>
    <x v="12"/>
    <x v="2"/>
    <n v="0.53"/>
  </r>
  <r>
    <x v="5"/>
    <x v="1"/>
    <n v="122001"/>
    <x v="13"/>
    <x v="2"/>
    <n v="0.85"/>
  </r>
  <r>
    <x v="5"/>
    <x v="1"/>
    <n v="492001"/>
    <x v="14"/>
    <x v="2"/>
    <n v="0.38"/>
  </r>
  <r>
    <x v="6"/>
    <x v="1"/>
    <n v="400001"/>
    <x v="0"/>
    <x v="2"/>
    <n v="4.25"/>
  </r>
  <r>
    <x v="6"/>
    <x v="1"/>
    <n v="110001"/>
    <x v="1"/>
    <x v="2"/>
    <n v="3.37"/>
  </r>
  <r>
    <x v="6"/>
    <x v="1"/>
    <n v="700001"/>
    <x v="2"/>
    <x v="2"/>
    <n v="6.55"/>
  </r>
  <r>
    <x v="6"/>
    <x v="1"/>
    <n v="560001"/>
    <x v="3"/>
    <x v="2"/>
    <n v="3.5"/>
  </r>
  <r>
    <x v="6"/>
    <x v="1"/>
    <n v="600001"/>
    <x v="4"/>
    <x v="2"/>
    <n v="2.42"/>
  </r>
  <r>
    <x v="6"/>
    <x v="1"/>
    <n v="500001"/>
    <x v="5"/>
    <x v="2"/>
    <n v="2.54"/>
  </r>
  <r>
    <x v="6"/>
    <x v="1"/>
    <n v="411001"/>
    <x v="6"/>
    <x v="2"/>
    <n v="2.15"/>
  </r>
  <r>
    <x v="6"/>
    <x v="1"/>
    <n v="380001"/>
    <x v="7"/>
    <x v="2"/>
    <n v="1.99"/>
  </r>
  <r>
    <x v="6"/>
    <x v="1"/>
    <n v="302001"/>
    <x v="8"/>
    <x v="2"/>
    <n v="1.52"/>
  </r>
  <r>
    <x v="6"/>
    <x v="1"/>
    <n v="226001"/>
    <x v="9"/>
    <x v="2"/>
    <n v="1.39"/>
  </r>
  <r>
    <x v="6"/>
    <x v="1"/>
    <n v="800008"/>
    <x v="10"/>
    <x v="2"/>
    <n v="0.94"/>
  </r>
  <r>
    <x v="6"/>
    <x v="1"/>
    <n v="641001"/>
    <x v="11"/>
    <x v="2"/>
    <n v="1.49"/>
  </r>
  <r>
    <x v="6"/>
    <x v="1"/>
    <n v="160017"/>
    <x v="12"/>
    <x v="2"/>
    <n v="0.49"/>
  </r>
  <r>
    <x v="6"/>
    <x v="1"/>
    <n v="122001"/>
    <x v="13"/>
    <x v="2"/>
    <n v="0.55000000000000004"/>
  </r>
  <r>
    <x v="6"/>
    <x v="1"/>
    <n v="492001"/>
    <x v="14"/>
    <x v="2"/>
    <n v="0.33"/>
  </r>
  <r>
    <x v="7"/>
    <x v="1"/>
    <n v="400001"/>
    <x v="0"/>
    <x v="2"/>
    <n v="4.75"/>
  </r>
  <r>
    <x v="7"/>
    <x v="1"/>
    <n v="110001"/>
    <x v="1"/>
    <x v="2"/>
    <n v="4.66"/>
  </r>
  <r>
    <x v="7"/>
    <x v="1"/>
    <n v="700001"/>
    <x v="2"/>
    <x v="2"/>
    <n v="3.98"/>
  </r>
  <r>
    <x v="7"/>
    <x v="1"/>
    <n v="560001"/>
    <x v="3"/>
    <x v="2"/>
    <n v="2.96"/>
  </r>
  <r>
    <x v="7"/>
    <x v="1"/>
    <n v="600001"/>
    <x v="4"/>
    <x v="2"/>
    <n v="2.04"/>
  </r>
  <r>
    <x v="7"/>
    <x v="1"/>
    <n v="500001"/>
    <x v="5"/>
    <x v="2"/>
    <n v="1.87"/>
  </r>
  <r>
    <x v="7"/>
    <x v="1"/>
    <n v="411001"/>
    <x v="6"/>
    <x v="2"/>
    <n v="3.62"/>
  </r>
  <r>
    <x v="7"/>
    <x v="1"/>
    <n v="380001"/>
    <x v="7"/>
    <x v="2"/>
    <n v="2"/>
  </r>
  <r>
    <x v="7"/>
    <x v="1"/>
    <n v="302001"/>
    <x v="8"/>
    <x v="2"/>
    <n v="1.35"/>
  </r>
  <r>
    <x v="7"/>
    <x v="1"/>
    <n v="226001"/>
    <x v="9"/>
    <x v="2"/>
    <n v="1.0900000000000001"/>
  </r>
  <r>
    <x v="7"/>
    <x v="1"/>
    <n v="800008"/>
    <x v="10"/>
    <x v="2"/>
    <n v="1.07"/>
  </r>
  <r>
    <x v="7"/>
    <x v="1"/>
    <n v="641001"/>
    <x v="11"/>
    <x v="2"/>
    <n v="0.64"/>
  </r>
  <r>
    <x v="7"/>
    <x v="1"/>
    <n v="160017"/>
    <x v="12"/>
    <x v="2"/>
    <n v="0.81"/>
  </r>
  <r>
    <x v="7"/>
    <x v="1"/>
    <n v="122001"/>
    <x v="13"/>
    <x v="2"/>
    <n v="0.45"/>
  </r>
  <r>
    <x v="7"/>
    <x v="1"/>
    <n v="492001"/>
    <x v="14"/>
    <x v="2"/>
    <n v="0.36"/>
  </r>
  <r>
    <x v="0"/>
    <x v="0"/>
    <n v="400001"/>
    <x v="0"/>
    <x v="3"/>
    <n v="3.48"/>
  </r>
  <r>
    <x v="0"/>
    <x v="0"/>
    <n v="110001"/>
    <x v="1"/>
    <x v="3"/>
    <n v="3.29"/>
  </r>
  <r>
    <x v="0"/>
    <x v="0"/>
    <n v="700001"/>
    <x v="2"/>
    <x v="3"/>
    <n v="3.32"/>
  </r>
  <r>
    <x v="0"/>
    <x v="0"/>
    <n v="560001"/>
    <x v="3"/>
    <x v="3"/>
    <n v="2.88"/>
  </r>
  <r>
    <x v="0"/>
    <x v="0"/>
    <n v="600001"/>
    <x v="4"/>
    <x v="3"/>
    <n v="2.04"/>
  </r>
  <r>
    <x v="0"/>
    <x v="0"/>
    <n v="500001"/>
    <x v="5"/>
    <x v="3"/>
    <n v="1.67"/>
  </r>
  <r>
    <x v="0"/>
    <x v="0"/>
    <n v="411001"/>
    <x v="6"/>
    <x v="3"/>
    <n v="1.54"/>
  </r>
  <r>
    <x v="0"/>
    <x v="0"/>
    <n v="380001"/>
    <x v="7"/>
    <x v="3"/>
    <n v="1.37"/>
  </r>
  <r>
    <x v="0"/>
    <x v="0"/>
    <n v="302001"/>
    <x v="8"/>
    <x v="3"/>
    <n v="1.3"/>
  </r>
  <r>
    <x v="0"/>
    <x v="0"/>
    <n v="226001"/>
    <x v="9"/>
    <x v="3"/>
    <n v="0.8"/>
  </r>
  <r>
    <x v="0"/>
    <x v="0"/>
    <n v="800008"/>
    <x v="10"/>
    <x v="3"/>
    <n v="1.1100000000000001"/>
  </r>
  <r>
    <x v="0"/>
    <x v="0"/>
    <n v="641001"/>
    <x v="11"/>
    <x v="3"/>
    <n v="0.45"/>
  </r>
  <r>
    <x v="0"/>
    <x v="0"/>
    <n v="160017"/>
    <x v="12"/>
    <x v="3"/>
    <n v="0.39"/>
  </r>
  <r>
    <x v="0"/>
    <x v="0"/>
    <n v="122001"/>
    <x v="13"/>
    <x v="3"/>
    <n v="0.36"/>
  </r>
  <r>
    <x v="0"/>
    <x v="0"/>
    <n v="492001"/>
    <x v="14"/>
    <x v="3"/>
    <n v="0.28999999999999998"/>
  </r>
  <r>
    <x v="1"/>
    <x v="0"/>
    <n v="400001"/>
    <x v="0"/>
    <x v="3"/>
    <n v="4.03"/>
  </r>
  <r>
    <x v="1"/>
    <x v="0"/>
    <n v="110001"/>
    <x v="1"/>
    <x v="3"/>
    <n v="2.96"/>
  </r>
  <r>
    <x v="1"/>
    <x v="0"/>
    <n v="700001"/>
    <x v="2"/>
    <x v="3"/>
    <n v="2.91"/>
  </r>
  <r>
    <x v="1"/>
    <x v="0"/>
    <n v="560001"/>
    <x v="3"/>
    <x v="3"/>
    <n v="3.18"/>
  </r>
  <r>
    <x v="1"/>
    <x v="0"/>
    <n v="600001"/>
    <x v="4"/>
    <x v="3"/>
    <n v="4.04"/>
  </r>
  <r>
    <x v="1"/>
    <x v="0"/>
    <n v="500001"/>
    <x v="5"/>
    <x v="3"/>
    <n v="2.2000000000000002"/>
  </r>
  <r>
    <x v="1"/>
    <x v="0"/>
    <n v="411001"/>
    <x v="6"/>
    <x v="3"/>
    <n v="1.97"/>
  </r>
  <r>
    <x v="1"/>
    <x v="0"/>
    <n v="380001"/>
    <x v="7"/>
    <x v="3"/>
    <n v="1.08"/>
  </r>
  <r>
    <x v="1"/>
    <x v="0"/>
    <n v="302001"/>
    <x v="8"/>
    <x v="3"/>
    <n v="0.91"/>
  </r>
  <r>
    <x v="1"/>
    <x v="0"/>
    <n v="226001"/>
    <x v="9"/>
    <x v="3"/>
    <n v="1.96"/>
  </r>
  <r>
    <x v="1"/>
    <x v="0"/>
    <n v="800008"/>
    <x v="10"/>
    <x v="3"/>
    <n v="0.68"/>
  </r>
  <r>
    <x v="1"/>
    <x v="0"/>
    <n v="641001"/>
    <x v="11"/>
    <x v="3"/>
    <n v="0.85"/>
  </r>
  <r>
    <x v="1"/>
    <x v="0"/>
    <n v="160017"/>
    <x v="12"/>
    <x v="3"/>
    <n v="0.36"/>
  </r>
  <r>
    <x v="1"/>
    <x v="0"/>
    <n v="122001"/>
    <x v="13"/>
    <x v="3"/>
    <n v="0.61"/>
  </r>
  <r>
    <x v="1"/>
    <x v="0"/>
    <n v="492001"/>
    <x v="14"/>
    <x v="3"/>
    <n v="0.27"/>
  </r>
  <r>
    <x v="2"/>
    <x v="0"/>
    <n v="400001"/>
    <x v="0"/>
    <x v="3"/>
    <n v="3.47"/>
  </r>
  <r>
    <x v="2"/>
    <x v="0"/>
    <n v="110001"/>
    <x v="1"/>
    <x v="3"/>
    <n v="3.41"/>
  </r>
  <r>
    <x v="2"/>
    <x v="0"/>
    <n v="700001"/>
    <x v="2"/>
    <x v="3"/>
    <n v="4.21"/>
  </r>
  <r>
    <x v="2"/>
    <x v="0"/>
    <n v="560001"/>
    <x v="3"/>
    <x v="3"/>
    <n v="2.95"/>
  </r>
  <r>
    <x v="2"/>
    <x v="0"/>
    <n v="600001"/>
    <x v="4"/>
    <x v="3"/>
    <n v="1.76"/>
  </r>
  <r>
    <x v="2"/>
    <x v="0"/>
    <n v="500001"/>
    <x v="5"/>
    <x v="3"/>
    <n v="2.31"/>
  </r>
  <r>
    <x v="2"/>
    <x v="0"/>
    <n v="411001"/>
    <x v="6"/>
    <x v="3"/>
    <n v="2.09"/>
  </r>
  <r>
    <x v="2"/>
    <x v="0"/>
    <n v="380001"/>
    <x v="7"/>
    <x v="3"/>
    <n v="2.12"/>
  </r>
  <r>
    <x v="2"/>
    <x v="0"/>
    <n v="302001"/>
    <x v="8"/>
    <x v="3"/>
    <n v="0.94"/>
  </r>
  <r>
    <x v="2"/>
    <x v="0"/>
    <n v="226001"/>
    <x v="9"/>
    <x v="3"/>
    <n v="1.1299999999999999"/>
  </r>
  <r>
    <x v="2"/>
    <x v="0"/>
    <n v="800008"/>
    <x v="10"/>
    <x v="3"/>
    <n v="0.66"/>
  </r>
  <r>
    <x v="2"/>
    <x v="0"/>
    <n v="641001"/>
    <x v="11"/>
    <x v="3"/>
    <n v="1.1299999999999999"/>
  </r>
  <r>
    <x v="2"/>
    <x v="0"/>
    <n v="160017"/>
    <x v="12"/>
    <x v="3"/>
    <n v="0.68"/>
  </r>
  <r>
    <x v="2"/>
    <x v="0"/>
    <n v="122001"/>
    <x v="13"/>
    <x v="3"/>
    <n v="0.32"/>
  </r>
  <r>
    <x v="2"/>
    <x v="0"/>
    <n v="492001"/>
    <x v="14"/>
    <x v="3"/>
    <n v="0.23"/>
  </r>
  <r>
    <x v="3"/>
    <x v="0"/>
    <n v="400001"/>
    <x v="0"/>
    <x v="3"/>
    <n v="3.9"/>
  </r>
  <r>
    <x v="3"/>
    <x v="0"/>
    <n v="110001"/>
    <x v="1"/>
    <x v="3"/>
    <n v="3.15"/>
  </r>
  <r>
    <x v="3"/>
    <x v="0"/>
    <n v="700001"/>
    <x v="2"/>
    <x v="3"/>
    <n v="3.2"/>
  </r>
  <r>
    <x v="3"/>
    <x v="0"/>
    <n v="560001"/>
    <x v="3"/>
    <x v="3"/>
    <n v="3.62"/>
  </r>
  <r>
    <x v="3"/>
    <x v="0"/>
    <n v="600001"/>
    <x v="4"/>
    <x v="3"/>
    <n v="2.4500000000000002"/>
  </r>
  <r>
    <x v="3"/>
    <x v="0"/>
    <n v="500001"/>
    <x v="5"/>
    <x v="3"/>
    <n v="1.74"/>
  </r>
  <r>
    <x v="3"/>
    <x v="0"/>
    <n v="411001"/>
    <x v="6"/>
    <x v="3"/>
    <n v="3.25"/>
  </r>
  <r>
    <x v="3"/>
    <x v="0"/>
    <n v="380001"/>
    <x v="7"/>
    <x v="3"/>
    <n v="1.86"/>
  </r>
  <r>
    <x v="3"/>
    <x v="0"/>
    <n v="302001"/>
    <x v="8"/>
    <x v="3"/>
    <n v="0.89"/>
  </r>
  <r>
    <x v="3"/>
    <x v="0"/>
    <n v="226001"/>
    <x v="9"/>
    <x v="3"/>
    <n v="0.89"/>
  </r>
  <r>
    <x v="3"/>
    <x v="0"/>
    <n v="800008"/>
    <x v="10"/>
    <x v="3"/>
    <n v="0.86"/>
  </r>
  <r>
    <x v="3"/>
    <x v="0"/>
    <n v="641001"/>
    <x v="11"/>
    <x v="3"/>
    <n v="0.7"/>
  </r>
  <r>
    <x v="3"/>
    <x v="0"/>
    <n v="160017"/>
    <x v="12"/>
    <x v="3"/>
    <n v="0.72"/>
  </r>
  <r>
    <x v="3"/>
    <x v="0"/>
    <n v="122001"/>
    <x v="13"/>
    <x v="3"/>
    <n v="0.34"/>
  </r>
  <r>
    <x v="3"/>
    <x v="0"/>
    <n v="492001"/>
    <x v="14"/>
    <x v="3"/>
    <n v="0.26"/>
  </r>
  <r>
    <x v="4"/>
    <x v="1"/>
    <n v="400001"/>
    <x v="0"/>
    <x v="3"/>
    <n v="3.36"/>
  </r>
  <r>
    <x v="4"/>
    <x v="1"/>
    <n v="110001"/>
    <x v="1"/>
    <x v="3"/>
    <n v="2.21"/>
  </r>
  <r>
    <x v="4"/>
    <x v="1"/>
    <n v="700001"/>
    <x v="2"/>
    <x v="3"/>
    <n v="2.15"/>
  </r>
  <r>
    <x v="4"/>
    <x v="1"/>
    <n v="560001"/>
    <x v="3"/>
    <x v="3"/>
    <n v="2.41"/>
  </r>
  <r>
    <x v="4"/>
    <x v="1"/>
    <n v="600001"/>
    <x v="4"/>
    <x v="3"/>
    <n v="1.72"/>
  </r>
  <r>
    <x v="4"/>
    <x v="1"/>
    <n v="500001"/>
    <x v="5"/>
    <x v="3"/>
    <n v="1.32"/>
  </r>
  <r>
    <x v="4"/>
    <x v="1"/>
    <n v="411001"/>
    <x v="6"/>
    <x v="3"/>
    <n v="1.44"/>
  </r>
  <r>
    <x v="4"/>
    <x v="1"/>
    <n v="380001"/>
    <x v="7"/>
    <x v="3"/>
    <n v="1.29"/>
  </r>
  <r>
    <x v="4"/>
    <x v="1"/>
    <n v="302001"/>
    <x v="8"/>
    <x v="3"/>
    <n v="1.1399999999999999"/>
  </r>
  <r>
    <x v="4"/>
    <x v="1"/>
    <n v="226001"/>
    <x v="9"/>
    <x v="3"/>
    <n v="0.62"/>
  </r>
  <r>
    <x v="4"/>
    <x v="1"/>
    <n v="800008"/>
    <x v="10"/>
    <x v="3"/>
    <n v="1.05"/>
  </r>
  <r>
    <x v="4"/>
    <x v="1"/>
    <n v="641001"/>
    <x v="11"/>
    <x v="3"/>
    <n v="0.36"/>
  </r>
  <r>
    <x v="4"/>
    <x v="1"/>
    <n v="160017"/>
    <x v="12"/>
    <x v="3"/>
    <n v="0.32"/>
  </r>
  <r>
    <x v="4"/>
    <x v="1"/>
    <n v="122001"/>
    <x v="13"/>
    <x v="3"/>
    <n v="0.3"/>
  </r>
  <r>
    <x v="4"/>
    <x v="1"/>
    <n v="492001"/>
    <x v="14"/>
    <x v="3"/>
    <n v="0.26"/>
  </r>
  <r>
    <x v="5"/>
    <x v="1"/>
    <n v="400001"/>
    <x v="0"/>
    <x v="3"/>
    <n v="2.68"/>
  </r>
  <r>
    <x v="5"/>
    <x v="1"/>
    <n v="110001"/>
    <x v="1"/>
    <x v="3"/>
    <n v="3.33"/>
  </r>
  <r>
    <x v="5"/>
    <x v="1"/>
    <n v="700001"/>
    <x v="2"/>
    <x v="3"/>
    <n v="2.3199999999999998"/>
  </r>
  <r>
    <x v="5"/>
    <x v="1"/>
    <n v="560001"/>
    <x v="3"/>
    <x v="3"/>
    <n v="2.6"/>
  </r>
  <r>
    <x v="5"/>
    <x v="1"/>
    <n v="600001"/>
    <x v="4"/>
    <x v="3"/>
    <n v="3.1"/>
  </r>
  <r>
    <x v="5"/>
    <x v="1"/>
    <n v="500001"/>
    <x v="5"/>
    <x v="3"/>
    <n v="2.0299999999999998"/>
  </r>
  <r>
    <x v="5"/>
    <x v="1"/>
    <n v="411001"/>
    <x v="6"/>
    <x v="3"/>
    <n v="1.53"/>
  </r>
  <r>
    <x v="5"/>
    <x v="1"/>
    <n v="380001"/>
    <x v="7"/>
    <x v="3"/>
    <n v="1.27"/>
  </r>
  <r>
    <x v="5"/>
    <x v="1"/>
    <n v="302001"/>
    <x v="8"/>
    <x v="3"/>
    <n v="0.94"/>
  </r>
  <r>
    <x v="5"/>
    <x v="1"/>
    <n v="226001"/>
    <x v="9"/>
    <x v="3"/>
    <n v="1.46"/>
  </r>
  <r>
    <x v="5"/>
    <x v="1"/>
    <n v="800008"/>
    <x v="10"/>
    <x v="3"/>
    <n v="0.6"/>
  </r>
  <r>
    <x v="5"/>
    <x v="1"/>
    <n v="641001"/>
    <x v="11"/>
    <x v="3"/>
    <n v="0.7"/>
  </r>
  <r>
    <x v="5"/>
    <x v="1"/>
    <n v="160017"/>
    <x v="12"/>
    <x v="3"/>
    <n v="0.34"/>
  </r>
  <r>
    <x v="5"/>
    <x v="1"/>
    <n v="122001"/>
    <x v="13"/>
    <x v="3"/>
    <n v="0.55000000000000004"/>
  </r>
  <r>
    <x v="5"/>
    <x v="1"/>
    <n v="492001"/>
    <x v="14"/>
    <x v="3"/>
    <n v="0.22"/>
  </r>
  <r>
    <x v="6"/>
    <x v="1"/>
    <n v="400001"/>
    <x v="0"/>
    <x v="3"/>
    <n v="3.44"/>
  </r>
  <r>
    <x v="6"/>
    <x v="1"/>
    <n v="110001"/>
    <x v="1"/>
    <x v="3"/>
    <n v="2.81"/>
  </r>
  <r>
    <x v="6"/>
    <x v="1"/>
    <n v="700001"/>
    <x v="2"/>
    <x v="3"/>
    <n v="3.28"/>
  </r>
  <r>
    <x v="6"/>
    <x v="1"/>
    <n v="560001"/>
    <x v="3"/>
    <x v="3"/>
    <n v="2.83"/>
  </r>
  <r>
    <x v="6"/>
    <x v="1"/>
    <n v="600001"/>
    <x v="4"/>
    <x v="3"/>
    <n v="1.45"/>
  </r>
  <r>
    <x v="6"/>
    <x v="1"/>
    <n v="500001"/>
    <x v="5"/>
    <x v="3"/>
    <n v="1.66"/>
  </r>
  <r>
    <x v="6"/>
    <x v="1"/>
    <n v="411001"/>
    <x v="6"/>
    <x v="3"/>
    <n v="1.47"/>
  </r>
  <r>
    <x v="6"/>
    <x v="1"/>
    <n v="380001"/>
    <x v="7"/>
    <x v="3"/>
    <n v="1.77"/>
  </r>
  <r>
    <x v="6"/>
    <x v="1"/>
    <n v="302001"/>
    <x v="8"/>
    <x v="3"/>
    <n v="0.86"/>
  </r>
  <r>
    <x v="6"/>
    <x v="1"/>
    <n v="226001"/>
    <x v="9"/>
    <x v="3"/>
    <n v="0.85"/>
  </r>
  <r>
    <x v="6"/>
    <x v="1"/>
    <n v="800008"/>
    <x v="10"/>
    <x v="3"/>
    <n v="0.73"/>
  </r>
  <r>
    <x v="6"/>
    <x v="1"/>
    <n v="641001"/>
    <x v="11"/>
    <x v="3"/>
    <n v="0.81"/>
  </r>
  <r>
    <x v="6"/>
    <x v="1"/>
    <n v="160017"/>
    <x v="12"/>
    <x v="3"/>
    <n v="0.44"/>
  </r>
  <r>
    <x v="6"/>
    <x v="1"/>
    <n v="122001"/>
    <x v="13"/>
    <x v="3"/>
    <n v="0.28000000000000003"/>
  </r>
  <r>
    <x v="6"/>
    <x v="1"/>
    <n v="492001"/>
    <x v="14"/>
    <x v="3"/>
    <n v="0.21"/>
  </r>
  <r>
    <x v="7"/>
    <x v="1"/>
    <n v="400001"/>
    <x v="0"/>
    <x v="3"/>
    <n v="3.09"/>
  </r>
  <r>
    <x v="7"/>
    <x v="1"/>
    <n v="110001"/>
    <x v="1"/>
    <x v="3"/>
    <n v="2.84"/>
  </r>
  <r>
    <x v="7"/>
    <x v="1"/>
    <n v="700001"/>
    <x v="2"/>
    <x v="3"/>
    <n v="2.25"/>
  </r>
  <r>
    <x v="7"/>
    <x v="1"/>
    <n v="560001"/>
    <x v="3"/>
    <x v="3"/>
    <n v="2.37"/>
  </r>
  <r>
    <x v="7"/>
    <x v="1"/>
    <n v="600001"/>
    <x v="4"/>
    <x v="3"/>
    <n v="1.7"/>
  </r>
  <r>
    <x v="7"/>
    <x v="1"/>
    <n v="500001"/>
    <x v="5"/>
    <x v="3"/>
    <n v="1.31"/>
  </r>
  <r>
    <x v="7"/>
    <x v="1"/>
    <n v="411001"/>
    <x v="6"/>
    <x v="3"/>
    <n v="2.35"/>
  </r>
  <r>
    <x v="7"/>
    <x v="1"/>
    <n v="380001"/>
    <x v="7"/>
    <x v="3"/>
    <n v="1.3"/>
  </r>
  <r>
    <x v="7"/>
    <x v="1"/>
    <n v="302001"/>
    <x v="8"/>
    <x v="3"/>
    <n v="0.9"/>
  </r>
  <r>
    <x v="7"/>
    <x v="1"/>
    <n v="226001"/>
    <x v="9"/>
    <x v="3"/>
    <n v="0.74"/>
  </r>
  <r>
    <x v="7"/>
    <x v="1"/>
    <n v="800008"/>
    <x v="10"/>
    <x v="3"/>
    <n v="0.68"/>
  </r>
  <r>
    <x v="7"/>
    <x v="1"/>
    <n v="641001"/>
    <x v="11"/>
    <x v="3"/>
    <n v="0.56999999999999995"/>
  </r>
  <r>
    <x v="7"/>
    <x v="1"/>
    <n v="160017"/>
    <x v="12"/>
    <x v="3"/>
    <n v="0.5"/>
  </r>
  <r>
    <x v="7"/>
    <x v="1"/>
    <n v="122001"/>
    <x v="13"/>
    <x v="3"/>
    <n v="0.33"/>
  </r>
  <r>
    <x v="7"/>
    <x v="1"/>
    <n v="492001"/>
    <x v="14"/>
    <x v="3"/>
    <n v="0.24"/>
  </r>
  <r>
    <x v="0"/>
    <x v="0"/>
    <n v="400001"/>
    <x v="0"/>
    <x v="4"/>
    <n v="3.13"/>
  </r>
  <r>
    <x v="0"/>
    <x v="0"/>
    <n v="110001"/>
    <x v="1"/>
    <x v="4"/>
    <n v="2.86"/>
  </r>
  <r>
    <x v="0"/>
    <x v="0"/>
    <n v="700001"/>
    <x v="2"/>
    <x v="4"/>
    <n v="2.77"/>
  </r>
  <r>
    <x v="0"/>
    <x v="0"/>
    <n v="560001"/>
    <x v="3"/>
    <x v="4"/>
    <n v="2.13"/>
  </r>
  <r>
    <x v="0"/>
    <x v="0"/>
    <n v="600001"/>
    <x v="4"/>
    <x v="4"/>
    <n v="1.85"/>
  </r>
  <r>
    <x v="0"/>
    <x v="0"/>
    <n v="500001"/>
    <x v="5"/>
    <x v="4"/>
    <n v="1.59"/>
  </r>
  <r>
    <x v="0"/>
    <x v="0"/>
    <n v="411001"/>
    <x v="6"/>
    <x v="4"/>
    <n v="1.32"/>
  </r>
  <r>
    <x v="0"/>
    <x v="0"/>
    <n v="380001"/>
    <x v="7"/>
    <x v="4"/>
    <n v="1.37"/>
  </r>
  <r>
    <x v="0"/>
    <x v="0"/>
    <n v="302001"/>
    <x v="8"/>
    <x v="4"/>
    <n v="1.3"/>
  </r>
  <r>
    <x v="0"/>
    <x v="0"/>
    <n v="226001"/>
    <x v="9"/>
    <x v="4"/>
    <n v="0.8"/>
  </r>
  <r>
    <x v="0"/>
    <x v="0"/>
    <n v="800008"/>
    <x v="10"/>
    <x v="4"/>
    <n v="1"/>
  </r>
  <r>
    <x v="0"/>
    <x v="0"/>
    <n v="641001"/>
    <x v="11"/>
    <x v="4"/>
    <n v="0.45"/>
  </r>
  <r>
    <x v="0"/>
    <x v="0"/>
    <n v="160017"/>
    <x v="12"/>
    <x v="4"/>
    <n v="0.41"/>
  </r>
  <r>
    <x v="0"/>
    <x v="0"/>
    <n v="122001"/>
    <x v="13"/>
    <x v="4"/>
    <n v="0.31"/>
  </r>
  <r>
    <x v="0"/>
    <x v="0"/>
    <n v="492001"/>
    <x v="14"/>
    <x v="4"/>
    <n v="0.26"/>
  </r>
  <r>
    <x v="1"/>
    <x v="0"/>
    <n v="400001"/>
    <x v="0"/>
    <x v="4"/>
    <n v="4.03"/>
  </r>
  <r>
    <x v="1"/>
    <x v="0"/>
    <n v="110001"/>
    <x v="1"/>
    <x v="4"/>
    <n v="2.8"/>
  </r>
  <r>
    <x v="1"/>
    <x v="0"/>
    <n v="700001"/>
    <x v="2"/>
    <x v="4"/>
    <n v="3.06"/>
  </r>
  <r>
    <x v="1"/>
    <x v="0"/>
    <n v="560001"/>
    <x v="3"/>
    <x v="4"/>
    <n v="3.35"/>
  </r>
  <r>
    <x v="1"/>
    <x v="0"/>
    <n v="600001"/>
    <x v="4"/>
    <x v="4"/>
    <n v="4.47"/>
  </r>
  <r>
    <x v="1"/>
    <x v="0"/>
    <n v="500001"/>
    <x v="5"/>
    <x v="4"/>
    <n v="2.31"/>
  </r>
  <r>
    <x v="1"/>
    <x v="0"/>
    <n v="411001"/>
    <x v="6"/>
    <x v="4"/>
    <n v="1.97"/>
  </r>
  <r>
    <x v="1"/>
    <x v="0"/>
    <n v="380001"/>
    <x v="7"/>
    <x v="4"/>
    <n v="1.26"/>
  </r>
  <r>
    <x v="1"/>
    <x v="0"/>
    <n v="302001"/>
    <x v="8"/>
    <x v="4"/>
    <n v="0.86"/>
  </r>
  <r>
    <x v="1"/>
    <x v="0"/>
    <n v="226001"/>
    <x v="9"/>
    <x v="4"/>
    <n v="1.86"/>
  </r>
  <r>
    <x v="1"/>
    <x v="0"/>
    <n v="800008"/>
    <x v="10"/>
    <x v="4"/>
    <n v="0.76"/>
  </r>
  <r>
    <x v="1"/>
    <x v="0"/>
    <n v="641001"/>
    <x v="11"/>
    <x v="4"/>
    <n v="0.66"/>
  </r>
  <r>
    <x v="1"/>
    <x v="0"/>
    <n v="160017"/>
    <x v="12"/>
    <x v="4"/>
    <n v="0.34"/>
  </r>
  <r>
    <x v="1"/>
    <x v="0"/>
    <n v="122001"/>
    <x v="13"/>
    <x v="4"/>
    <n v="0.5"/>
  </r>
  <r>
    <x v="1"/>
    <x v="0"/>
    <n v="492001"/>
    <x v="14"/>
    <x v="4"/>
    <n v="0.3"/>
  </r>
  <r>
    <x v="2"/>
    <x v="0"/>
    <n v="400001"/>
    <x v="0"/>
    <x v="4"/>
    <n v="3.29"/>
  </r>
  <r>
    <x v="2"/>
    <x v="0"/>
    <n v="110001"/>
    <x v="1"/>
    <x v="4"/>
    <n v="3.25"/>
  </r>
  <r>
    <x v="2"/>
    <x v="0"/>
    <n v="700001"/>
    <x v="2"/>
    <x v="4"/>
    <n v="4.21"/>
  </r>
  <r>
    <x v="2"/>
    <x v="0"/>
    <n v="560001"/>
    <x v="3"/>
    <x v="4"/>
    <n v="2.8"/>
  </r>
  <r>
    <x v="2"/>
    <x v="0"/>
    <n v="600001"/>
    <x v="4"/>
    <x v="4"/>
    <n v="1.67"/>
  </r>
  <r>
    <x v="2"/>
    <x v="0"/>
    <n v="500001"/>
    <x v="5"/>
    <x v="4"/>
    <n v="1.83"/>
  </r>
  <r>
    <x v="2"/>
    <x v="0"/>
    <n v="411001"/>
    <x v="6"/>
    <x v="4"/>
    <n v="2.2000000000000002"/>
  </r>
  <r>
    <x v="2"/>
    <x v="0"/>
    <n v="380001"/>
    <x v="7"/>
    <x v="4"/>
    <n v="1.64"/>
  </r>
  <r>
    <x v="2"/>
    <x v="0"/>
    <n v="302001"/>
    <x v="8"/>
    <x v="4"/>
    <n v="1.05"/>
  </r>
  <r>
    <x v="2"/>
    <x v="0"/>
    <n v="226001"/>
    <x v="9"/>
    <x v="4"/>
    <n v="0.85"/>
  </r>
  <r>
    <x v="2"/>
    <x v="0"/>
    <n v="800008"/>
    <x v="10"/>
    <x v="4"/>
    <n v="0.62"/>
  </r>
  <r>
    <x v="2"/>
    <x v="0"/>
    <n v="641001"/>
    <x v="11"/>
    <x v="4"/>
    <n v="1.25"/>
  </r>
  <r>
    <x v="2"/>
    <x v="0"/>
    <n v="160017"/>
    <x v="12"/>
    <x v="4"/>
    <n v="0.56999999999999995"/>
  </r>
  <r>
    <x v="2"/>
    <x v="0"/>
    <n v="122001"/>
    <x v="13"/>
    <x v="4"/>
    <n v="0.36"/>
  </r>
  <r>
    <x v="2"/>
    <x v="0"/>
    <n v="492001"/>
    <x v="14"/>
    <x v="4"/>
    <n v="0.24"/>
  </r>
  <r>
    <x v="3"/>
    <x v="0"/>
    <n v="400001"/>
    <x v="0"/>
    <x v="4"/>
    <n v="3.22"/>
  </r>
  <r>
    <x v="3"/>
    <x v="0"/>
    <n v="110001"/>
    <x v="1"/>
    <x v="4"/>
    <n v="2.6"/>
  </r>
  <r>
    <x v="3"/>
    <x v="0"/>
    <n v="700001"/>
    <x v="2"/>
    <x v="4"/>
    <n v="2.76"/>
  </r>
  <r>
    <x v="3"/>
    <x v="0"/>
    <n v="560001"/>
    <x v="3"/>
    <x v="4"/>
    <n v="3.02"/>
  </r>
  <r>
    <x v="3"/>
    <x v="0"/>
    <n v="600001"/>
    <x v="4"/>
    <x v="4"/>
    <n v="2.33"/>
  </r>
  <r>
    <x v="3"/>
    <x v="0"/>
    <n v="500001"/>
    <x v="5"/>
    <x v="4"/>
    <n v="1.35"/>
  </r>
  <r>
    <x v="3"/>
    <x v="0"/>
    <n v="411001"/>
    <x v="6"/>
    <x v="4"/>
    <n v="3.41"/>
  </r>
  <r>
    <x v="3"/>
    <x v="0"/>
    <n v="380001"/>
    <x v="7"/>
    <x v="4"/>
    <n v="1.59"/>
  </r>
  <r>
    <x v="3"/>
    <x v="0"/>
    <n v="302001"/>
    <x v="8"/>
    <x v="4"/>
    <n v="0.84"/>
  </r>
  <r>
    <x v="3"/>
    <x v="0"/>
    <n v="226001"/>
    <x v="9"/>
    <x v="4"/>
    <n v="0.85"/>
  </r>
  <r>
    <x v="3"/>
    <x v="0"/>
    <n v="800008"/>
    <x v="10"/>
    <x v="4"/>
    <n v="0.78"/>
  </r>
  <r>
    <x v="3"/>
    <x v="0"/>
    <n v="641001"/>
    <x v="11"/>
    <x v="4"/>
    <n v="0.56999999999999995"/>
  </r>
  <r>
    <x v="3"/>
    <x v="0"/>
    <n v="160017"/>
    <x v="12"/>
    <x v="4"/>
    <n v="0.65"/>
  </r>
  <r>
    <x v="3"/>
    <x v="0"/>
    <n v="122001"/>
    <x v="13"/>
    <x v="4"/>
    <n v="0.34"/>
  </r>
  <r>
    <x v="3"/>
    <x v="0"/>
    <n v="492001"/>
    <x v="14"/>
    <x v="4"/>
    <n v="0.24"/>
  </r>
  <r>
    <x v="4"/>
    <x v="1"/>
    <n v="400001"/>
    <x v="0"/>
    <x v="4"/>
    <n v="2.85"/>
  </r>
  <r>
    <x v="4"/>
    <x v="1"/>
    <n v="110001"/>
    <x v="1"/>
    <x v="4"/>
    <n v="1.62"/>
  </r>
  <r>
    <x v="4"/>
    <x v="1"/>
    <n v="700001"/>
    <x v="2"/>
    <x v="4"/>
    <n v="1.34"/>
  </r>
  <r>
    <x v="4"/>
    <x v="1"/>
    <n v="560001"/>
    <x v="3"/>
    <x v="4"/>
    <n v="1.77"/>
  </r>
  <r>
    <x v="4"/>
    <x v="1"/>
    <n v="600001"/>
    <x v="4"/>
    <x v="4"/>
    <n v="1.32"/>
  </r>
  <r>
    <x v="4"/>
    <x v="1"/>
    <n v="500001"/>
    <x v="5"/>
    <x v="4"/>
    <n v="1.21"/>
  </r>
  <r>
    <x v="4"/>
    <x v="1"/>
    <n v="411001"/>
    <x v="6"/>
    <x v="4"/>
    <n v="0.81"/>
  </r>
  <r>
    <x v="4"/>
    <x v="1"/>
    <n v="380001"/>
    <x v="7"/>
    <x v="4"/>
    <n v="0.81"/>
  </r>
  <r>
    <x v="4"/>
    <x v="1"/>
    <n v="302001"/>
    <x v="8"/>
    <x v="4"/>
    <n v="0.73"/>
  </r>
  <r>
    <x v="4"/>
    <x v="1"/>
    <n v="226001"/>
    <x v="9"/>
    <x v="4"/>
    <n v="0.41"/>
  </r>
  <r>
    <x v="4"/>
    <x v="1"/>
    <n v="800008"/>
    <x v="10"/>
    <x v="4"/>
    <n v="0.59"/>
  </r>
  <r>
    <x v="4"/>
    <x v="1"/>
    <n v="641001"/>
    <x v="11"/>
    <x v="4"/>
    <n v="0.33"/>
  </r>
  <r>
    <x v="4"/>
    <x v="1"/>
    <n v="160017"/>
    <x v="12"/>
    <x v="4"/>
    <n v="0.22"/>
  </r>
  <r>
    <x v="4"/>
    <x v="1"/>
    <n v="122001"/>
    <x v="13"/>
    <x v="4"/>
    <n v="0.2"/>
  </r>
  <r>
    <x v="4"/>
    <x v="1"/>
    <n v="492001"/>
    <x v="14"/>
    <x v="4"/>
    <n v="0.19"/>
  </r>
  <r>
    <x v="5"/>
    <x v="1"/>
    <n v="400001"/>
    <x v="0"/>
    <x v="4"/>
    <n v="2.9"/>
  </r>
  <r>
    <x v="5"/>
    <x v="1"/>
    <n v="110001"/>
    <x v="1"/>
    <x v="4"/>
    <n v="2.08"/>
  </r>
  <r>
    <x v="5"/>
    <x v="1"/>
    <n v="700001"/>
    <x v="2"/>
    <x v="4"/>
    <n v="1.5"/>
  </r>
  <r>
    <x v="5"/>
    <x v="1"/>
    <n v="560001"/>
    <x v="3"/>
    <x v="4"/>
    <n v="1.46"/>
  </r>
  <r>
    <x v="5"/>
    <x v="1"/>
    <n v="600001"/>
    <x v="4"/>
    <x v="4"/>
    <n v="2.21"/>
  </r>
  <r>
    <x v="5"/>
    <x v="1"/>
    <n v="500001"/>
    <x v="5"/>
    <x v="4"/>
    <n v="1.63"/>
  </r>
  <r>
    <x v="5"/>
    <x v="1"/>
    <n v="411001"/>
    <x v="6"/>
    <x v="4"/>
    <n v="1.22"/>
  </r>
  <r>
    <x v="5"/>
    <x v="1"/>
    <n v="380001"/>
    <x v="7"/>
    <x v="4"/>
    <n v="0.71"/>
  </r>
  <r>
    <x v="5"/>
    <x v="1"/>
    <n v="302001"/>
    <x v="8"/>
    <x v="4"/>
    <n v="0.66"/>
  </r>
  <r>
    <x v="5"/>
    <x v="1"/>
    <n v="226001"/>
    <x v="9"/>
    <x v="4"/>
    <n v="1.0900000000000001"/>
  </r>
  <r>
    <x v="5"/>
    <x v="1"/>
    <n v="800008"/>
    <x v="10"/>
    <x v="4"/>
    <n v="0.44"/>
  </r>
  <r>
    <x v="5"/>
    <x v="1"/>
    <n v="641001"/>
    <x v="11"/>
    <x v="4"/>
    <n v="0.42"/>
  </r>
  <r>
    <x v="5"/>
    <x v="1"/>
    <n v="160017"/>
    <x v="12"/>
    <x v="4"/>
    <n v="0.27"/>
  </r>
  <r>
    <x v="5"/>
    <x v="1"/>
    <n v="122001"/>
    <x v="13"/>
    <x v="4"/>
    <n v="0.4"/>
  </r>
  <r>
    <x v="5"/>
    <x v="1"/>
    <n v="492001"/>
    <x v="14"/>
    <x v="4"/>
    <n v="0.21"/>
  </r>
  <r>
    <x v="6"/>
    <x v="1"/>
    <n v="400001"/>
    <x v="0"/>
    <x v="4"/>
    <n v="2.63"/>
  </r>
  <r>
    <x v="6"/>
    <x v="1"/>
    <n v="110001"/>
    <x v="1"/>
    <x v="4"/>
    <n v="2.06"/>
  </r>
  <r>
    <x v="6"/>
    <x v="1"/>
    <n v="700001"/>
    <x v="2"/>
    <x v="4"/>
    <n v="2.73"/>
  </r>
  <r>
    <x v="6"/>
    <x v="1"/>
    <n v="560001"/>
    <x v="3"/>
    <x v="4"/>
    <n v="1.83"/>
  </r>
  <r>
    <x v="6"/>
    <x v="1"/>
    <n v="600001"/>
    <x v="4"/>
    <x v="4"/>
    <n v="1.33"/>
  </r>
  <r>
    <x v="6"/>
    <x v="1"/>
    <n v="500001"/>
    <x v="5"/>
    <x v="4"/>
    <n v="1.44"/>
  </r>
  <r>
    <x v="6"/>
    <x v="1"/>
    <n v="411001"/>
    <x v="6"/>
    <x v="4"/>
    <n v="1.02"/>
  </r>
  <r>
    <x v="6"/>
    <x v="1"/>
    <n v="380001"/>
    <x v="7"/>
    <x v="4"/>
    <n v="1.44"/>
  </r>
  <r>
    <x v="6"/>
    <x v="1"/>
    <n v="302001"/>
    <x v="8"/>
    <x v="4"/>
    <n v="0.73"/>
  </r>
  <r>
    <x v="6"/>
    <x v="1"/>
    <n v="226001"/>
    <x v="9"/>
    <x v="4"/>
    <n v="0.73"/>
  </r>
  <r>
    <x v="6"/>
    <x v="1"/>
    <n v="800008"/>
    <x v="10"/>
    <x v="4"/>
    <n v="0.51"/>
  </r>
  <r>
    <x v="6"/>
    <x v="1"/>
    <n v="641001"/>
    <x v="11"/>
    <x v="4"/>
    <n v="0.75"/>
  </r>
  <r>
    <x v="6"/>
    <x v="1"/>
    <n v="160017"/>
    <x v="12"/>
    <x v="4"/>
    <n v="0.27"/>
  </r>
  <r>
    <x v="6"/>
    <x v="1"/>
    <n v="122001"/>
    <x v="13"/>
    <x v="4"/>
    <n v="0.28000000000000003"/>
  </r>
  <r>
    <x v="6"/>
    <x v="1"/>
    <n v="492001"/>
    <x v="14"/>
    <x v="4"/>
    <n v="0.13"/>
  </r>
  <r>
    <x v="7"/>
    <x v="1"/>
    <n v="400001"/>
    <x v="0"/>
    <x v="4"/>
    <n v="2.61"/>
  </r>
  <r>
    <x v="7"/>
    <x v="1"/>
    <n v="110001"/>
    <x v="1"/>
    <x v="4"/>
    <n v="2.0299999999999998"/>
  </r>
  <r>
    <x v="7"/>
    <x v="1"/>
    <n v="700001"/>
    <x v="2"/>
    <x v="4"/>
    <n v="1.73"/>
  </r>
  <r>
    <x v="7"/>
    <x v="1"/>
    <n v="560001"/>
    <x v="3"/>
    <x v="4"/>
    <n v="1.33"/>
  </r>
  <r>
    <x v="7"/>
    <x v="1"/>
    <n v="600001"/>
    <x v="4"/>
    <x v="4"/>
    <n v="1.24"/>
  </r>
  <r>
    <x v="7"/>
    <x v="1"/>
    <n v="500001"/>
    <x v="5"/>
    <x v="4"/>
    <n v="0.94"/>
  </r>
  <r>
    <x v="7"/>
    <x v="1"/>
    <n v="411001"/>
    <x v="6"/>
    <x v="4"/>
    <n v="1.63"/>
  </r>
  <r>
    <x v="7"/>
    <x v="1"/>
    <n v="380001"/>
    <x v="7"/>
    <x v="4"/>
    <n v="0.87"/>
  </r>
  <r>
    <x v="7"/>
    <x v="1"/>
    <n v="302001"/>
    <x v="8"/>
    <x v="4"/>
    <n v="0.77"/>
  </r>
  <r>
    <x v="7"/>
    <x v="1"/>
    <n v="226001"/>
    <x v="9"/>
    <x v="4"/>
    <n v="0.56999999999999995"/>
  </r>
  <r>
    <x v="7"/>
    <x v="1"/>
    <n v="800008"/>
    <x v="10"/>
    <x v="4"/>
    <n v="0.57999999999999996"/>
  </r>
  <r>
    <x v="7"/>
    <x v="1"/>
    <n v="641001"/>
    <x v="11"/>
    <x v="4"/>
    <n v="0.43"/>
  </r>
  <r>
    <x v="7"/>
    <x v="1"/>
    <n v="160017"/>
    <x v="12"/>
    <x v="4"/>
    <n v="0.5"/>
  </r>
  <r>
    <x v="7"/>
    <x v="1"/>
    <n v="122001"/>
    <x v="13"/>
    <x v="4"/>
    <n v="0.26"/>
  </r>
  <r>
    <x v="7"/>
    <x v="1"/>
    <n v="492001"/>
    <x v="14"/>
    <x v="4"/>
    <n v="0.18"/>
  </r>
  <r>
    <x v="0"/>
    <x v="0"/>
    <n v="400001"/>
    <x v="0"/>
    <x v="5"/>
    <n v="2.2599999999999998"/>
  </r>
  <r>
    <x v="0"/>
    <x v="0"/>
    <n v="110001"/>
    <x v="1"/>
    <x v="5"/>
    <n v="2"/>
  </r>
  <r>
    <x v="0"/>
    <x v="0"/>
    <n v="700001"/>
    <x v="2"/>
    <x v="5"/>
    <n v="1.94"/>
  </r>
  <r>
    <x v="0"/>
    <x v="0"/>
    <n v="560001"/>
    <x v="3"/>
    <x v="5"/>
    <n v="1.88"/>
  </r>
  <r>
    <x v="0"/>
    <x v="0"/>
    <n v="600001"/>
    <x v="4"/>
    <x v="5"/>
    <n v="1.56"/>
  </r>
  <r>
    <x v="0"/>
    <x v="0"/>
    <n v="500001"/>
    <x v="5"/>
    <x v="5"/>
    <n v="1.34"/>
  </r>
  <r>
    <x v="0"/>
    <x v="0"/>
    <n v="411001"/>
    <x v="6"/>
    <x v="5"/>
    <n v="0.95"/>
  </r>
  <r>
    <x v="0"/>
    <x v="0"/>
    <n v="380001"/>
    <x v="7"/>
    <x v="5"/>
    <n v="1.17"/>
  </r>
  <r>
    <x v="0"/>
    <x v="0"/>
    <n v="302001"/>
    <x v="8"/>
    <x v="5"/>
    <n v="1.03"/>
  </r>
  <r>
    <x v="0"/>
    <x v="0"/>
    <n v="226001"/>
    <x v="9"/>
    <x v="5"/>
    <n v="0.67"/>
  </r>
  <r>
    <x v="0"/>
    <x v="0"/>
    <n v="800008"/>
    <x v="10"/>
    <x v="5"/>
    <n v="0.9"/>
  </r>
  <r>
    <x v="0"/>
    <x v="0"/>
    <n v="641001"/>
    <x v="11"/>
    <x v="5"/>
    <n v="0.34"/>
  </r>
  <r>
    <x v="0"/>
    <x v="0"/>
    <n v="160017"/>
    <x v="12"/>
    <x v="5"/>
    <n v="0.26"/>
  </r>
  <r>
    <x v="0"/>
    <x v="0"/>
    <n v="122001"/>
    <x v="13"/>
    <x v="5"/>
    <n v="0.2"/>
  </r>
  <r>
    <x v="0"/>
    <x v="0"/>
    <n v="492001"/>
    <x v="14"/>
    <x v="5"/>
    <n v="0.19"/>
  </r>
  <r>
    <x v="1"/>
    <x v="0"/>
    <n v="400001"/>
    <x v="0"/>
    <x v="5"/>
    <n v="2.62"/>
  </r>
  <r>
    <x v="1"/>
    <x v="0"/>
    <n v="110001"/>
    <x v="1"/>
    <x v="5"/>
    <n v="2.14"/>
  </r>
  <r>
    <x v="1"/>
    <x v="0"/>
    <n v="700001"/>
    <x v="2"/>
    <x v="5"/>
    <n v="1.99"/>
  </r>
  <r>
    <x v="1"/>
    <x v="0"/>
    <n v="560001"/>
    <x v="3"/>
    <x v="5"/>
    <n v="2.65"/>
  </r>
  <r>
    <x v="1"/>
    <x v="0"/>
    <n v="600001"/>
    <x v="4"/>
    <x v="5"/>
    <n v="2.5499999999999998"/>
  </r>
  <r>
    <x v="1"/>
    <x v="0"/>
    <n v="500001"/>
    <x v="5"/>
    <x v="5"/>
    <n v="1.5"/>
  </r>
  <r>
    <x v="1"/>
    <x v="0"/>
    <n v="411001"/>
    <x v="6"/>
    <x v="5"/>
    <n v="1.28"/>
  </r>
  <r>
    <x v="1"/>
    <x v="0"/>
    <n v="380001"/>
    <x v="7"/>
    <x v="5"/>
    <n v="0.9"/>
  </r>
  <r>
    <x v="1"/>
    <x v="0"/>
    <n v="302001"/>
    <x v="8"/>
    <x v="5"/>
    <n v="0.69"/>
  </r>
  <r>
    <x v="1"/>
    <x v="0"/>
    <n v="226001"/>
    <x v="9"/>
    <x v="5"/>
    <n v="1.49"/>
  </r>
  <r>
    <x v="1"/>
    <x v="0"/>
    <n v="800008"/>
    <x v="10"/>
    <x v="5"/>
    <n v="0.53"/>
  </r>
  <r>
    <x v="1"/>
    <x v="0"/>
    <n v="641001"/>
    <x v="11"/>
    <x v="5"/>
    <n v="0.52"/>
  </r>
  <r>
    <x v="1"/>
    <x v="0"/>
    <n v="160017"/>
    <x v="12"/>
    <x v="5"/>
    <n v="0.27"/>
  </r>
  <r>
    <x v="1"/>
    <x v="0"/>
    <n v="122001"/>
    <x v="13"/>
    <x v="5"/>
    <n v="0.34"/>
  </r>
  <r>
    <x v="1"/>
    <x v="0"/>
    <n v="492001"/>
    <x v="14"/>
    <x v="5"/>
    <n v="0.22"/>
  </r>
  <r>
    <x v="2"/>
    <x v="0"/>
    <n v="400001"/>
    <x v="0"/>
    <x v="5"/>
    <n v="2.74"/>
  </r>
  <r>
    <x v="2"/>
    <x v="0"/>
    <n v="110001"/>
    <x v="1"/>
    <x v="5"/>
    <n v="1.95"/>
  </r>
  <r>
    <x v="2"/>
    <x v="0"/>
    <n v="700001"/>
    <x v="2"/>
    <x v="5"/>
    <n v="3.55"/>
  </r>
  <r>
    <x v="2"/>
    <x v="0"/>
    <n v="560001"/>
    <x v="3"/>
    <x v="5"/>
    <n v="2.02"/>
  </r>
  <r>
    <x v="2"/>
    <x v="0"/>
    <n v="600001"/>
    <x v="4"/>
    <x v="5"/>
    <n v="1.39"/>
  </r>
  <r>
    <x v="2"/>
    <x v="0"/>
    <n v="500001"/>
    <x v="5"/>
    <x v="5"/>
    <n v="1.64"/>
  </r>
  <r>
    <x v="2"/>
    <x v="0"/>
    <n v="411001"/>
    <x v="6"/>
    <x v="5"/>
    <n v="1.43"/>
  </r>
  <r>
    <x v="2"/>
    <x v="0"/>
    <n v="380001"/>
    <x v="7"/>
    <x v="5"/>
    <n v="1.64"/>
  </r>
  <r>
    <x v="2"/>
    <x v="0"/>
    <n v="302001"/>
    <x v="8"/>
    <x v="5"/>
    <n v="0.68"/>
  </r>
  <r>
    <x v="2"/>
    <x v="0"/>
    <n v="226001"/>
    <x v="9"/>
    <x v="5"/>
    <n v="0.8"/>
  </r>
  <r>
    <x v="2"/>
    <x v="0"/>
    <n v="800008"/>
    <x v="10"/>
    <x v="5"/>
    <n v="0.37"/>
  </r>
  <r>
    <x v="2"/>
    <x v="0"/>
    <n v="641001"/>
    <x v="11"/>
    <x v="5"/>
    <n v="0.77"/>
  </r>
  <r>
    <x v="2"/>
    <x v="0"/>
    <n v="160017"/>
    <x v="12"/>
    <x v="5"/>
    <n v="0.43"/>
  </r>
  <r>
    <x v="2"/>
    <x v="0"/>
    <n v="122001"/>
    <x v="13"/>
    <x v="5"/>
    <n v="0.25"/>
  </r>
  <r>
    <x v="2"/>
    <x v="0"/>
    <n v="492001"/>
    <x v="14"/>
    <x v="5"/>
    <n v="0.19"/>
  </r>
  <r>
    <x v="3"/>
    <x v="0"/>
    <n v="400001"/>
    <x v="0"/>
    <x v="5"/>
    <n v="2.72"/>
  </r>
  <r>
    <x v="3"/>
    <x v="0"/>
    <n v="110001"/>
    <x v="1"/>
    <x v="5"/>
    <n v="1.64"/>
  </r>
  <r>
    <x v="3"/>
    <x v="0"/>
    <n v="700001"/>
    <x v="2"/>
    <x v="5"/>
    <n v="2.33"/>
  </r>
  <r>
    <x v="3"/>
    <x v="0"/>
    <n v="560001"/>
    <x v="3"/>
    <x v="5"/>
    <n v="2.56"/>
  </r>
  <r>
    <x v="3"/>
    <x v="0"/>
    <n v="600001"/>
    <x v="4"/>
    <x v="5"/>
    <n v="1.84"/>
  </r>
  <r>
    <x v="3"/>
    <x v="0"/>
    <n v="500001"/>
    <x v="5"/>
    <x v="5"/>
    <n v="1.03"/>
  </r>
  <r>
    <x v="3"/>
    <x v="0"/>
    <n v="411001"/>
    <x v="6"/>
    <x v="5"/>
    <n v="1.95"/>
  </r>
  <r>
    <x v="3"/>
    <x v="0"/>
    <n v="380001"/>
    <x v="7"/>
    <x v="5"/>
    <n v="1.33"/>
  </r>
  <r>
    <x v="3"/>
    <x v="0"/>
    <n v="302001"/>
    <x v="8"/>
    <x v="5"/>
    <n v="0.7"/>
  </r>
  <r>
    <x v="3"/>
    <x v="0"/>
    <n v="226001"/>
    <x v="9"/>
    <x v="5"/>
    <n v="0.72"/>
  </r>
  <r>
    <x v="3"/>
    <x v="0"/>
    <n v="800008"/>
    <x v="10"/>
    <x v="5"/>
    <n v="0.51"/>
  </r>
  <r>
    <x v="3"/>
    <x v="0"/>
    <n v="641001"/>
    <x v="11"/>
    <x v="5"/>
    <n v="0.41"/>
  </r>
  <r>
    <x v="3"/>
    <x v="0"/>
    <n v="160017"/>
    <x v="12"/>
    <x v="5"/>
    <n v="0.5"/>
  </r>
  <r>
    <x v="3"/>
    <x v="0"/>
    <n v="122001"/>
    <x v="13"/>
    <x v="5"/>
    <n v="0.22"/>
  </r>
  <r>
    <x v="3"/>
    <x v="0"/>
    <n v="492001"/>
    <x v="14"/>
    <x v="5"/>
    <n v="0.22"/>
  </r>
  <r>
    <x v="4"/>
    <x v="1"/>
    <n v="400001"/>
    <x v="0"/>
    <x v="5"/>
    <n v="1.81"/>
  </r>
  <r>
    <x v="4"/>
    <x v="1"/>
    <n v="110001"/>
    <x v="1"/>
    <x v="5"/>
    <n v="1.18"/>
  </r>
  <r>
    <x v="4"/>
    <x v="1"/>
    <n v="700001"/>
    <x v="2"/>
    <x v="5"/>
    <n v="1.07"/>
  </r>
  <r>
    <x v="4"/>
    <x v="1"/>
    <n v="560001"/>
    <x v="3"/>
    <x v="5"/>
    <n v="1.29"/>
  </r>
  <r>
    <x v="4"/>
    <x v="1"/>
    <n v="600001"/>
    <x v="4"/>
    <x v="5"/>
    <n v="1.06"/>
  </r>
  <r>
    <x v="4"/>
    <x v="1"/>
    <n v="500001"/>
    <x v="5"/>
    <x v="5"/>
    <n v="0.99"/>
  </r>
  <r>
    <x v="4"/>
    <x v="1"/>
    <n v="411001"/>
    <x v="6"/>
    <x v="5"/>
    <n v="0.63"/>
  </r>
  <r>
    <x v="4"/>
    <x v="1"/>
    <n v="380001"/>
    <x v="7"/>
    <x v="5"/>
    <n v="0.73"/>
  </r>
  <r>
    <x v="4"/>
    <x v="1"/>
    <n v="302001"/>
    <x v="8"/>
    <x v="5"/>
    <n v="0.65"/>
  </r>
  <r>
    <x v="4"/>
    <x v="1"/>
    <n v="226001"/>
    <x v="9"/>
    <x v="5"/>
    <n v="0.28999999999999998"/>
  </r>
  <r>
    <x v="4"/>
    <x v="1"/>
    <n v="800008"/>
    <x v="10"/>
    <x v="5"/>
    <n v="0.52"/>
  </r>
  <r>
    <x v="4"/>
    <x v="1"/>
    <n v="641001"/>
    <x v="11"/>
    <x v="5"/>
    <n v="0.19"/>
  </r>
  <r>
    <x v="4"/>
    <x v="1"/>
    <n v="160017"/>
    <x v="12"/>
    <x v="5"/>
    <n v="0.2"/>
  </r>
  <r>
    <x v="4"/>
    <x v="1"/>
    <n v="122001"/>
    <x v="13"/>
    <x v="5"/>
    <n v="0.16"/>
  </r>
  <r>
    <x v="4"/>
    <x v="1"/>
    <n v="492001"/>
    <x v="14"/>
    <x v="5"/>
    <n v="0.15"/>
  </r>
  <r>
    <x v="5"/>
    <x v="1"/>
    <n v="400001"/>
    <x v="0"/>
    <x v="5"/>
    <n v="2.23"/>
  </r>
  <r>
    <x v="5"/>
    <x v="1"/>
    <n v="110001"/>
    <x v="1"/>
    <x v="5"/>
    <n v="1.46"/>
  </r>
  <r>
    <x v="5"/>
    <x v="1"/>
    <n v="700001"/>
    <x v="2"/>
    <x v="5"/>
    <n v="1.23"/>
  </r>
  <r>
    <x v="5"/>
    <x v="1"/>
    <n v="560001"/>
    <x v="3"/>
    <x v="5"/>
    <n v="1.46"/>
  </r>
  <r>
    <x v="5"/>
    <x v="1"/>
    <n v="600001"/>
    <x v="4"/>
    <x v="5"/>
    <n v="1.99"/>
  </r>
  <r>
    <x v="5"/>
    <x v="1"/>
    <n v="500001"/>
    <x v="5"/>
    <x v="5"/>
    <n v="1.22"/>
  </r>
  <r>
    <x v="5"/>
    <x v="1"/>
    <n v="411001"/>
    <x v="6"/>
    <x v="5"/>
    <n v="0.81"/>
  </r>
  <r>
    <x v="5"/>
    <x v="1"/>
    <n v="380001"/>
    <x v="7"/>
    <x v="5"/>
    <n v="0.56000000000000005"/>
  </r>
  <r>
    <x v="5"/>
    <x v="1"/>
    <n v="302001"/>
    <x v="8"/>
    <x v="5"/>
    <n v="0.44"/>
  </r>
  <r>
    <x v="5"/>
    <x v="1"/>
    <n v="226001"/>
    <x v="9"/>
    <x v="5"/>
    <n v="0.73"/>
  </r>
  <r>
    <x v="5"/>
    <x v="1"/>
    <n v="800008"/>
    <x v="10"/>
    <x v="5"/>
    <n v="0.4"/>
  </r>
  <r>
    <x v="5"/>
    <x v="1"/>
    <n v="641001"/>
    <x v="11"/>
    <x v="5"/>
    <n v="0.33"/>
  </r>
  <r>
    <x v="5"/>
    <x v="1"/>
    <n v="160017"/>
    <x v="12"/>
    <x v="5"/>
    <n v="0.19"/>
  </r>
  <r>
    <x v="5"/>
    <x v="1"/>
    <n v="122001"/>
    <x v="13"/>
    <x v="5"/>
    <n v="0.26"/>
  </r>
  <r>
    <x v="5"/>
    <x v="1"/>
    <n v="492001"/>
    <x v="14"/>
    <x v="5"/>
    <n v="0.17"/>
  </r>
  <r>
    <x v="6"/>
    <x v="1"/>
    <n v="400001"/>
    <x v="0"/>
    <x v="5"/>
    <n v="1.42"/>
  </r>
  <r>
    <x v="6"/>
    <x v="1"/>
    <n v="110001"/>
    <x v="1"/>
    <x v="5"/>
    <n v="1.31"/>
  </r>
  <r>
    <x v="6"/>
    <x v="1"/>
    <n v="700001"/>
    <x v="2"/>
    <x v="5"/>
    <n v="2.1800000000000002"/>
  </r>
  <r>
    <x v="6"/>
    <x v="1"/>
    <n v="560001"/>
    <x v="3"/>
    <x v="5"/>
    <n v="1.17"/>
  </r>
  <r>
    <x v="6"/>
    <x v="1"/>
    <n v="600001"/>
    <x v="4"/>
    <x v="5"/>
    <n v="0.97"/>
  </r>
  <r>
    <x v="6"/>
    <x v="1"/>
    <n v="500001"/>
    <x v="5"/>
    <x v="5"/>
    <n v="0.99"/>
  </r>
  <r>
    <x v="6"/>
    <x v="1"/>
    <n v="411001"/>
    <x v="6"/>
    <x v="5"/>
    <n v="1.02"/>
  </r>
  <r>
    <x v="6"/>
    <x v="1"/>
    <n v="380001"/>
    <x v="7"/>
    <x v="5"/>
    <n v="0.77"/>
  </r>
  <r>
    <x v="6"/>
    <x v="1"/>
    <n v="302001"/>
    <x v="8"/>
    <x v="5"/>
    <n v="0.66"/>
  </r>
  <r>
    <x v="6"/>
    <x v="1"/>
    <n v="226001"/>
    <x v="9"/>
    <x v="5"/>
    <n v="0.55000000000000004"/>
  </r>
  <r>
    <x v="6"/>
    <x v="1"/>
    <n v="800008"/>
    <x v="10"/>
    <x v="5"/>
    <n v="0.34"/>
  </r>
  <r>
    <x v="6"/>
    <x v="1"/>
    <n v="641001"/>
    <x v="11"/>
    <x v="5"/>
    <n v="0.61"/>
  </r>
  <r>
    <x v="6"/>
    <x v="1"/>
    <n v="160017"/>
    <x v="12"/>
    <x v="5"/>
    <n v="0.27"/>
  </r>
  <r>
    <x v="6"/>
    <x v="1"/>
    <n v="122001"/>
    <x v="13"/>
    <x v="5"/>
    <n v="0.16"/>
  </r>
  <r>
    <x v="6"/>
    <x v="1"/>
    <n v="492001"/>
    <x v="14"/>
    <x v="5"/>
    <n v="0.13"/>
  </r>
  <r>
    <x v="7"/>
    <x v="1"/>
    <n v="400001"/>
    <x v="0"/>
    <x v="5"/>
    <n v="1.9"/>
  </r>
  <r>
    <x v="7"/>
    <x v="1"/>
    <n v="110001"/>
    <x v="1"/>
    <x v="5"/>
    <n v="1.82"/>
  </r>
  <r>
    <x v="7"/>
    <x v="1"/>
    <n v="700001"/>
    <x v="2"/>
    <x v="5"/>
    <n v="1.56"/>
  </r>
  <r>
    <x v="7"/>
    <x v="1"/>
    <n v="560001"/>
    <x v="3"/>
    <x v="5"/>
    <n v="1.18"/>
  </r>
  <r>
    <x v="7"/>
    <x v="1"/>
    <n v="600001"/>
    <x v="4"/>
    <x v="5"/>
    <n v="0.79"/>
  </r>
  <r>
    <x v="7"/>
    <x v="1"/>
    <n v="500001"/>
    <x v="5"/>
    <x v="5"/>
    <n v="0.84"/>
  </r>
  <r>
    <x v="7"/>
    <x v="1"/>
    <n v="411001"/>
    <x v="6"/>
    <x v="5"/>
    <n v="1.27"/>
  </r>
  <r>
    <x v="7"/>
    <x v="1"/>
    <n v="380001"/>
    <x v="7"/>
    <x v="5"/>
    <n v="0.78"/>
  </r>
  <r>
    <x v="7"/>
    <x v="1"/>
    <n v="302001"/>
    <x v="8"/>
    <x v="5"/>
    <n v="0.45"/>
  </r>
  <r>
    <x v="7"/>
    <x v="1"/>
    <n v="226001"/>
    <x v="9"/>
    <x v="5"/>
    <n v="0.51"/>
  </r>
  <r>
    <x v="7"/>
    <x v="1"/>
    <n v="800008"/>
    <x v="10"/>
    <x v="5"/>
    <n v="0.39"/>
  </r>
  <r>
    <x v="7"/>
    <x v="1"/>
    <n v="641001"/>
    <x v="11"/>
    <x v="5"/>
    <n v="0.32"/>
  </r>
  <r>
    <x v="7"/>
    <x v="1"/>
    <n v="160017"/>
    <x v="12"/>
    <x v="5"/>
    <n v="0.35"/>
  </r>
  <r>
    <x v="7"/>
    <x v="1"/>
    <n v="122001"/>
    <x v="13"/>
    <x v="5"/>
    <n v="0.21"/>
  </r>
  <r>
    <x v="7"/>
    <x v="1"/>
    <n v="492001"/>
    <x v="14"/>
    <x v="5"/>
    <n v="0.14000000000000001"/>
  </r>
  <r>
    <x v="0"/>
    <x v="0"/>
    <n v="400001"/>
    <x v="0"/>
    <x v="6"/>
    <n v="1.74"/>
  </r>
  <r>
    <x v="0"/>
    <x v="0"/>
    <n v="110001"/>
    <x v="1"/>
    <x v="6"/>
    <n v="1.86"/>
  </r>
  <r>
    <x v="0"/>
    <x v="0"/>
    <n v="700001"/>
    <x v="2"/>
    <x v="6"/>
    <n v="1.25"/>
  </r>
  <r>
    <x v="0"/>
    <x v="0"/>
    <n v="560001"/>
    <x v="3"/>
    <x v="6"/>
    <n v="1.5"/>
  </r>
  <r>
    <x v="0"/>
    <x v="0"/>
    <n v="600001"/>
    <x v="4"/>
    <x v="6"/>
    <n v="0.97"/>
  </r>
  <r>
    <x v="0"/>
    <x v="0"/>
    <n v="500001"/>
    <x v="5"/>
    <x v="6"/>
    <n v="0.92"/>
  </r>
  <r>
    <x v="0"/>
    <x v="0"/>
    <n v="411001"/>
    <x v="6"/>
    <x v="6"/>
    <n v="0.81"/>
  </r>
  <r>
    <x v="0"/>
    <x v="0"/>
    <n v="380001"/>
    <x v="7"/>
    <x v="6"/>
    <n v="0.69"/>
  </r>
  <r>
    <x v="0"/>
    <x v="0"/>
    <n v="302001"/>
    <x v="8"/>
    <x v="6"/>
    <n v="0.68"/>
  </r>
  <r>
    <x v="0"/>
    <x v="0"/>
    <n v="226001"/>
    <x v="9"/>
    <x v="6"/>
    <n v="0.51"/>
  </r>
  <r>
    <x v="0"/>
    <x v="0"/>
    <n v="800008"/>
    <x v="10"/>
    <x v="6"/>
    <n v="0.48"/>
  </r>
  <r>
    <x v="0"/>
    <x v="0"/>
    <n v="641001"/>
    <x v="11"/>
    <x v="6"/>
    <n v="0.28000000000000003"/>
  </r>
  <r>
    <x v="0"/>
    <x v="0"/>
    <n v="160017"/>
    <x v="12"/>
    <x v="6"/>
    <n v="0.24"/>
  </r>
  <r>
    <x v="0"/>
    <x v="0"/>
    <n v="122001"/>
    <x v="13"/>
    <x v="6"/>
    <n v="0.19"/>
  </r>
  <r>
    <x v="0"/>
    <x v="0"/>
    <n v="492001"/>
    <x v="14"/>
    <x v="6"/>
    <n v="0.13"/>
  </r>
  <r>
    <x v="1"/>
    <x v="0"/>
    <n v="400001"/>
    <x v="0"/>
    <x v="6"/>
    <n v="1.81"/>
  </r>
  <r>
    <x v="1"/>
    <x v="0"/>
    <n v="110001"/>
    <x v="1"/>
    <x v="6"/>
    <n v="2.14"/>
  </r>
  <r>
    <x v="1"/>
    <x v="0"/>
    <n v="700001"/>
    <x v="2"/>
    <x v="6"/>
    <n v="1.68"/>
  </r>
  <r>
    <x v="1"/>
    <x v="0"/>
    <n v="560001"/>
    <x v="3"/>
    <x v="6"/>
    <n v="1.94"/>
  </r>
  <r>
    <x v="1"/>
    <x v="0"/>
    <n v="600001"/>
    <x v="4"/>
    <x v="6"/>
    <n v="2.34"/>
  </r>
  <r>
    <x v="1"/>
    <x v="0"/>
    <n v="500001"/>
    <x v="5"/>
    <x v="6"/>
    <n v="1.1599999999999999"/>
  </r>
  <r>
    <x v="1"/>
    <x v="0"/>
    <n v="411001"/>
    <x v="6"/>
    <x v="6"/>
    <n v="0.89"/>
  </r>
  <r>
    <x v="1"/>
    <x v="0"/>
    <n v="380001"/>
    <x v="7"/>
    <x v="6"/>
    <n v="0.66"/>
  </r>
  <r>
    <x v="1"/>
    <x v="0"/>
    <n v="302001"/>
    <x v="8"/>
    <x v="6"/>
    <n v="0.52"/>
  </r>
  <r>
    <x v="1"/>
    <x v="0"/>
    <n v="226001"/>
    <x v="9"/>
    <x v="6"/>
    <n v="1.1200000000000001"/>
  </r>
  <r>
    <x v="1"/>
    <x v="0"/>
    <n v="800008"/>
    <x v="10"/>
    <x v="6"/>
    <n v="0.46"/>
  </r>
  <r>
    <x v="1"/>
    <x v="0"/>
    <n v="641001"/>
    <x v="11"/>
    <x v="6"/>
    <n v="0.41"/>
  </r>
  <r>
    <x v="1"/>
    <x v="0"/>
    <n v="160017"/>
    <x v="12"/>
    <x v="6"/>
    <n v="0.2"/>
  </r>
  <r>
    <x v="1"/>
    <x v="0"/>
    <n v="122001"/>
    <x v="13"/>
    <x v="6"/>
    <n v="0.32"/>
  </r>
  <r>
    <x v="1"/>
    <x v="0"/>
    <n v="492001"/>
    <x v="14"/>
    <x v="6"/>
    <n v="0.17"/>
  </r>
  <r>
    <x v="2"/>
    <x v="0"/>
    <n v="400001"/>
    <x v="0"/>
    <x v="6"/>
    <n v="2.37"/>
  </r>
  <r>
    <x v="2"/>
    <x v="0"/>
    <n v="110001"/>
    <x v="1"/>
    <x v="6"/>
    <n v="2.11"/>
  </r>
  <r>
    <x v="2"/>
    <x v="0"/>
    <n v="700001"/>
    <x v="2"/>
    <x v="6"/>
    <n v="2.66"/>
  </r>
  <r>
    <x v="2"/>
    <x v="0"/>
    <n v="560001"/>
    <x v="3"/>
    <x v="6"/>
    <n v="1.4"/>
  </r>
  <r>
    <x v="2"/>
    <x v="0"/>
    <n v="600001"/>
    <x v="4"/>
    <x v="6"/>
    <n v="0.83"/>
  </r>
  <r>
    <x v="2"/>
    <x v="0"/>
    <n v="500001"/>
    <x v="5"/>
    <x v="6"/>
    <n v="1.1599999999999999"/>
  </r>
  <r>
    <x v="2"/>
    <x v="0"/>
    <n v="411001"/>
    <x v="6"/>
    <x v="6"/>
    <n v="1.32"/>
  </r>
  <r>
    <x v="2"/>
    <x v="0"/>
    <n v="380001"/>
    <x v="7"/>
    <x v="6"/>
    <n v="0.87"/>
  </r>
  <r>
    <x v="2"/>
    <x v="0"/>
    <n v="302001"/>
    <x v="8"/>
    <x v="6"/>
    <n v="0.68"/>
  </r>
  <r>
    <x v="2"/>
    <x v="0"/>
    <n v="226001"/>
    <x v="9"/>
    <x v="6"/>
    <n v="0.52"/>
  </r>
  <r>
    <x v="2"/>
    <x v="0"/>
    <n v="800008"/>
    <x v="10"/>
    <x v="6"/>
    <n v="0.34"/>
  </r>
  <r>
    <x v="2"/>
    <x v="0"/>
    <n v="641001"/>
    <x v="11"/>
    <x v="6"/>
    <n v="0.65"/>
  </r>
  <r>
    <x v="2"/>
    <x v="0"/>
    <n v="160017"/>
    <x v="12"/>
    <x v="6"/>
    <n v="0.34"/>
  </r>
  <r>
    <x v="2"/>
    <x v="0"/>
    <n v="122001"/>
    <x v="13"/>
    <x v="6"/>
    <n v="0.21"/>
  </r>
  <r>
    <x v="2"/>
    <x v="0"/>
    <n v="492001"/>
    <x v="14"/>
    <x v="6"/>
    <n v="0.13"/>
  </r>
  <r>
    <x v="3"/>
    <x v="0"/>
    <n v="400001"/>
    <x v="0"/>
    <x v="6"/>
    <n v="2.21"/>
  </r>
  <r>
    <x v="3"/>
    <x v="0"/>
    <n v="110001"/>
    <x v="1"/>
    <x v="6"/>
    <n v="1.51"/>
  </r>
  <r>
    <x v="3"/>
    <x v="0"/>
    <n v="700001"/>
    <x v="2"/>
    <x v="6"/>
    <n v="1.6"/>
  </r>
  <r>
    <x v="3"/>
    <x v="0"/>
    <n v="560001"/>
    <x v="3"/>
    <x v="6"/>
    <n v="1.51"/>
  </r>
  <r>
    <x v="3"/>
    <x v="0"/>
    <n v="600001"/>
    <x v="4"/>
    <x v="6"/>
    <n v="1.47"/>
  </r>
  <r>
    <x v="3"/>
    <x v="0"/>
    <n v="500001"/>
    <x v="5"/>
    <x v="6"/>
    <n v="0.95"/>
  </r>
  <r>
    <x v="3"/>
    <x v="0"/>
    <n v="411001"/>
    <x v="6"/>
    <x v="6"/>
    <n v="1.79"/>
  </r>
  <r>
    <x v="3"/>
    <x v="0"/>
    <n v="380001"/>
    <x v="7"/>
    <x v="6"/>
    <n v="0.97"/>
  </r>
  <r>
    <x v="3"/>
    <x v="0"/>
    <n v="302001"/>
    <x v="8"/>
    <x v="6"/>
    <n v="0.56000000000000005"/>
  </r>
  <r>
    <x v="3"/>
    <x v="0"/>
    <n v="226001"/>
    <x v="9"/>
    <x v="6"/>
    <n v="0.54"/>
  </r>
  <r>
    <x v="3"/>
    <x v="0"/>
    <n v="800008"/>
    <x v="10"/>
    <x v="6"/>
    <n v="0.35"/>
  </r>
  <r>
    <x v="3"/>
    <x v="0"/>
    <n v="641001"/>
    <x v="11"/>
    <x v="6"/>
    <n v="0.35"/>
  </r>
  <r>
    <x v="3"/>
    <x v="0"/>
    <n v="160017"/>
    <x v="12"/>
    <x v="6"/>
    <n v="0.47"/>
  </r>
  <r>
    <x v="3"/>
    <x v="0"/>
    <n v="122001"/>
    <x v="13"/>
    <x v="6"/>
    <n v="0.17"/>
  </r>
  <r>
    <x v="3"/>
    <x v="0"/>
    <n v="492001"/>
    <x v="14"/>
    <x v="6"/>
    <n v="0.13"/>
  </r>
  <r>
    <x v="4"/>
    <x v="1"/>
    <n v="400001"/>
    <x v="0"/>
    <x v="6"/>
    <n v="0.26"/>
  </r>
  <r>
    <x v="4"/>
    <x v="1"/>
    <n v="110001"/>
    <x v="1"/>
    <x v="6"/>
    <n v="0.44"/>
  </r>
  <r>
    <x v="4"/>
    <x v="1"/>
    <n v="700001"/>
    <x v="2"/>
    <x v="6"/>
    <n v="0.4"/>
  </r>
  <r>
    <x v="4"/>
    <x v="1"/>
    <n v="560001"/>
    <x v="3"/>
    <x v="6"/>
    <n v="0.64"/>
  </r>
  <r>
    <x v="4"/>
    <x v="1"/>
    <n v="600001"/>
    <x v="4"/>
    <x v="6"/>
    <n v="0.4"/>
  </r>
  <r>
    <x v="4"/>
    <x v="1"/>
    <n v="500001"/>
    <x v="5"/>
    <x v="6"/>
    <n v="0.22"/>
  </r>
  <r>
    <x v="4"/>
    <x v="1"/>
    <n v="411001"/>
    <x v="6"/>
    <x v="6"/>
    <n v="0.18"/>
  </r>
  <r>
    <x v="4"/>
    <x v="1"/>
    <n v="380001"/>
    <x v="7"/>
    <x v="6"/>
    <n v="0.16"/>
  </r>
  <r>
    <x v="4"/>
    <x v="1"/>
    <n v="302001"/>
    <x v="8"/>
    <x v="6"/>
    <n v="0.24"/>
  </r>
  <r>
    <x v="4"/>
    <x v="1"/>
    <n v="226001"/>
    <x v="9"/>
    <x v="6"/>
    <n v="0.12"/>
  </r>
  <r>
    <x v="4"/>
    <x v="1"/>
    <n v="800008"/>
    <x v="10"/>
    <x v="6"/>
    <n v="7.0000000000000007E-2"/>
  </r>
  <r>
    <x v="4"/>
    <x v="1"/>
    <n v="641001"/>
    <x v="11"/>
    <x v="6"/>
    <n v="0.06"/>
  </r>
  <r>
    <x v="4"/>
    <x v="1"/>
    <n v="160017"/>
    <x v="12"/>
    <x v="6"/>
    <n v="7.0000000000000007E-2"/>
  </r>
  <r>
    <x v="4"/>
    <x v="1"/>
    <n v="122001"/>
    <x v="13"/>
    <x v="6"/>
    <n v="0.02"/>
  </r>
  <r>
    <x v="4"/>
    <x v="1"/>
    <n v="492001"/>
    <x v="14"/>
    <x v="6"/>
    <n v="0.04"/>
  </r>
  <r>
    <x v="5"/>
    <x v="1"/>
    <n v="400001"/>
    <x v="0"/>
    <x v="6"/>
    <n v="0.45"/>
  </r>
  <r>
    <x v="5"/>
    <x v="1"/>
    <n v="110001"/>
    <x v="1"/>
    <x v="6"/>
    <n v="0.42"/>
  </r>
  <r>
    <x v="5"/>
    <x v="1"/>
    <n v="700001"/>
    <x v="2"/>
    <x v="6"/>
    <n v="0.27"/>
  </r>
  <r>
    <x v="5"/>
    <x v="1"/>
    <n v="560001"/>
    <x v="3"/>
    <x v="6"/>
    <n v="0.49"/>
  </r>
  <r>
    <x v="5"/>
    <x v="1"/>
    <n v="600001"/>
    <x v="4"/>
    <x v="6"/>
    <n v="0.44"/>
  </r>
  <r>
    <x v="5"/>
    <x v="1"/>
    <n v="500001"/>
    <x v="5"/>
    <x v="6"/>
    <n v="0.27"/>
  </r>
  <r>
    <x v="5"/>
    <x v="1"/>
    <n v="411001"/>
    <x v="6"/>
    <x v="6"/>
    <n v="0.2"/>
  </r>
  <r>
    <x v="5"/>
    <x v="1"/>
    <n v="380001"/>
    <x v="7"/>
    <x v="6"/>
    <n v="0.32"/>
  </r>
  <r>
    <x v="5"/>
    <x v="1"/>
    <n v="302001"/>
    <x v="8"/>
    <x v="6"/>
    <n v="0.11"/>
  </r>
  <r>
    <x v="5"/>
    <x v="1"/>
    <n v="226001"/>
    <x v="9"/>
    <x v="6"/>
    <n v="0.09"/>
  </r>
  <r>
    <x v="5"/>
    <x v="1"/>
    <n v="800008"/>
    <x v="10"/>
    <x v="6"/>
    <n v="0.08"/>
  </r>
  <r>
    <x v="5"/>
    <x v="1"/>
    <n v="641001"/>
    <x v="11"/>
    <x v="6"/>
    <n v="0.14000000000000001"/>
  </r>
  <r>
    <x v="5"/>
    <x v="1"/>
    <n v="160017"/>
    <x v="12"/>
    <x v="6"/>
    <n v="0.05"/>
  </r>
  <r>
    <x v="5"/>
    <x v="1"/>
    <n v="122001"/>
    <x v="13"/>
    <x v="6"/>
    <n v="7.0000000000000007E-2"/>
  </r>
  <r>
    <x v="5"/>
    <x v="1"/>
    <n v="492001"/>
    <x v="14"/>
    <x v="6"/>
    <n v="0.05"/>
  </r>
  <r>
    <x v="6"/>
    <x v="1"/>
    <n v="400001"/>
    <x v="0"/>
    <x v="6"/>
    <n v="0.61"/>
  </r>
  <r>
    <x v="6"/>
    <x v="1"/>
    <n v="110001"/>
    <x v="1"/>
    <x v="6"/>
    <n v="0.75"/>
  </r>
  <r>
    <x v="6"/>
    <x v="1"/>
    <n v="700001"/>
    <x v="2"/>
    <x v="6"/>
    <n v="0.55000000000000004"/>
  </r>
  <r>
    <x v="6"/>
    <x v="1"/>
    <n v="560001"/>
    <x v="3"/>
    <x v="6"/>
    <n v="0.67"/>
  </r>
  <r>
    <x v="6"/>
    <x v="1"/>
    <n v="600001"/>
    <x v="4"/>
    <x v="6"/>
    <n v="0.36"/>
  </r>
  <r>
    <x v="6"/>
    <x v="1"/>
    <n v="500001"/>
    <x v="5"/>
    <x v="6"/>
    <n v="0.44"/>
  </r>
  <r>
    <x v="6"/>
    <x v="1"/>
    <n v="411001"/>
    <x v="6"/>
    <x v="6"/>
    <n v="0.11"/>
  </r>
  <r>
    <x v="6"/>
    <x v="1"/>
    <n v="380001"/>
    <x v="7"/>
    <x v="6"/>
    <n v="0.22"/>
  </r>
  <r>
    <x v="6"/>
    <x v="1"/>
    <n v="302001"/>
    <x v="8"/>
    <x v="6"/>
    <n v="7.0000000000000007E-2"/>
  </r>
  <r>
    <x v="6"/>
    <x v="1"/>
    <n v="226001"/>
    <x v="9"/>
    <x v="6"/>
    <n v="0.18"/>
  </r>
  <r>
    <x v="6"/>
    <x v="1"/>
    <n v="800008"/>
    <x v="10"/>
    <x v="6"/>
    <n v="0.13"/>
  </r>
  <r>
    <x v="6"/>
    <x v="1"/>
    <n v="641001"/>
    <x v="11"/>
    <x v="6"/>
    <n v="0.2"/>
  </r>
  <r>
    <x v="6"/>
    <x v="1"/>
    <n v="160017"/>
    <x v="12"/>
    <x v="6"/>
    <n v="0.08"/>
  </r>
  <r>
    <x v="6"/>
    <x v="1"/>
    <n v="122001"/>
    <x v="13"/>
    <x v="6"/>
    <n v="7.0000000000000007E-2"/>
  </r>
  <r>
    <x v="6"/>
    <x v="1"/>
    <n v="492001"/>
    <x v="14"/>
    <x v="6"/>
    <n v="0.03"/>
  </r>
  <r>
    <x v="7"/>
    <x v="1"/>
    <n v="400001"/>
    <x v="0"/>
    <x v="6"/>
    <n v="0.47"/>
  </r>
  <r>
    <x v="7"/>
    <x v="1"/>
    <n v="110001"/>
    <x v="1"/>
    <x v="6"/>
    <n v="0.41"/>
  </r>
  <r>
    <x v="7"/>
    <x v="1"/>
    <n v="700001"/>
    <x v="2"/>
    <x v="6"/>
    <n v="0.69"/>
  </r>
  <r>
    <x v="7"/>
    <x v="1"/>
    <n v="560001"/>
    <x v="3"/>
    <x v="6"/>
    <n v="0.44"/>
  </r>
  <r>
    <x v="7"/>
    <x v="1"/>
    <n v="600001"/>
    <x v="4"/>
    <x v="6"/>
    <n v="0.34"/>
  </r>
  <r>
    <x v="7"/>
    <x v="1"/>
    <n v="500001"/>
    <x v="5"/>
    <x v="6"/>
    <n v="0.28000000000000003"/>
  </r>
  <r>
    <x v="7"/>
    <x v="1"/>
    <n v="411001"/>
    <x v="6"/>
    <x v="6"/>
    <n v="0.54"/>
  </r>
  <r>
    <x v="7"/>
    <x v="1"/>
    <n v="380001"/>
    <x v="7"/>
    <x v="6"/>
    <n v="0.35"/>
  </r>
  <r>
    <x v="7"/>
    <x v="1"/>
    <n v="302001"/>
    <x v="8"/>
    <x v="6"/>
    <n v="0.19"/>
  </r>
  <r>
    <x v="7"/>
    <x v="1"/>
    <n v="226001"/>
    <x v="9"/>
    <x v="6"/>
    <n v="0.17"/>
  </r>
  <r>
    <x v="7"/>
    <x v="1"/>
    <n v="800008"/>
    <x v="10"/>
    <x v="6"/>
    <n v="0.1"/>
  </r>
  <r>
    <x v="7"/>
    <x v="1"/>
    <n v="641001"/>
    <x v="11"/>
    <x v="6"/>
    <n v="7.0000000000000007E-2"/>
  </r>
  <r>
    <x v="7"/>
    <x v="1"/>
    <n v="160017"/>
    <x v="12"/>
    <x v="6"/>
    <n v="0.15"/>
  </r>
  <r>
    <x v="7"/>
    <x v="1"/>
    <n v="122001"/>
    <x v="13"/>
    <x v="6"/>
    <n v="7.0000000000000007E-2"/>
  </r>
  <r>
    <x v="7"/>
    <x v="1"/>
    <n v="492001"/>
    <x v="14"/>
    <x v="6"/>
    <n v="0.05"/>
  </r>
  <r>
    <x v="0"/>
    <x v="0"/>
    <n v="400001"/>
    <x v="0"/>
    <x v="7"/>
    <n v="1.39"/>
  </r>
  <r>
    <x v="0"/>
    <x v="0"/>
    <n v="400001"/>
    <x v="0"/>
    <x v="8"/>
    <n v="0.7"/>
  </r>
  <r>
    <x v="0"/>
    <x v="0"/>
    <n v="400001"/>
    <x v="0"/>
    <x v="9"/>
    <n v="0.52"/>
  </r>
  <r>
    <x v="0"/>
    <x v="0"/>
    <n v="110001"/>
    <x v="1"/>
    <x v="7"/>
    <n v="1.1499999999999999"/>
  </r>
  <r>
    <x v="0"/>
    <x v="0"/>
    <n v="110001"/>
    <x v="1"/>
    <x v="8"/>
    <n v="0.72"/>
  </r>
  <r>
    <x v="0"/>
    <x v="0"/>
    <n v="110001"/>
    <x v="1"/>
    <x v="9"/>
    <n v="0.28999999999999998"/>
  </r>
  <r>
    <x v="0"/>
    <x v="0"/>
    <n v="700001"/>
    <x v="2"/>
    <x v="7"/>
    <n v="0.97"/>
  </r>
  <r>
    <x v="0"/>
    <x v="0"/>
    <n v="700001"/>
    <x v="2"/>
    <x v="8"/>
    <n v="0.69"/>
  </r>
  <r>
    <x v="0"/>
    <x v="0"/>
    <n v="700001"/>
    <x v="2"/>
    <x v="9"/>
    <n v="0.14000000000000001"/>
  </r>
  <r>
    <x v="0"/>
    <x v="0"/>
    <n v="560001"/>
    <x v="3"/>
    <x v="7"/>
    <n v="1"/>
  </r>
  <r>
    <x v="0"/>
    <x v="0"/>
    <n v="560001"/>
    <x v="3"/>
    <x v="8"/>
    <n v="0.63"/>
  </r>
  <r>
    <x v="0"/>
    <x v="0"/>
    <n v="560001"/>
    <x v="3"/>
    <x v="9"/>
    <n v="0.25"/>
  </r>
  <r>
    <x v="0"/>
    <x v="0"/>
    <n v="600001"/>
    <x v="4"/>
    <x v="7"/>
    <n v="0.78"/>
  </r>
  <r>
    <x v="0"/>
    <x v="0"/>
    <n v="600001"/>
    <x v="4"/>
    <x v="8"/>
    <n v="0.39"/>
  </r>
  <r>
    <x v="0"/>
    <x v="0"/>
    <n v="600001"/>
    <x v="4"/>
    <x v="9"/>
    <n v="0.1"/>
  </r>
  <r>
    <x v="0"/>
    <x v="0"/>
    <n v="500001"/>
    <x v="5"/>
    <x v="7"/>
    <n v="0.83"/>
  </r>
  <r>
    <x v="0"/>
    <x v="0"/>
    <n v="500001"/>
    <x v="5"/>
    <x v="8"/>
    <n v="0.42"/>
  </r>
  <r>
    <x v="0"/>
    <x v="0"/>
    <n v="500001"/>
    <x v="5"/>
    <x v="9"/>
    <n v="0.17"/>
  </r>
  <r>
    <x v="0"/>
    <x v="0"/>
    <n v="411001"/>
    <x v="6"/>
    <x v="7"/>
    <n v="0.51"/>
  </r>
  <r>
    <x v="0"/>
    <x v="0"/>
    <n v="411001"/>
    <x v="6"/>
    <x v="8"/>
    <n v="0.28999999999999998"/>
  </r>
  <r>
    <x v="0"/>
    <x v="0"/>
    <n v="411001"/>
    <x v="6"/>
    <x v="9"/>
    <n v="7.0000000000000007E-2"/>
  </r>
  <r>
    <x v="0"/>
    <x v="0"/>
    <n v="380001"/>
    <x v="7"/>
    <x v="7"/>
    <n v="0.62"/>
  </r>
  <r>
    <x v="0"/>
    <x v="0"/>
    <n v="380001"/>
    <x v="7"/>
    <x v="8"/>
    <n v="0.34"/>
  </r>
  <r>
    <x v="0"/>
    <x v="0"/>
    <n v="380001"/>
    <x v="7"/>
    <x v="9"/>
    <n v="0.21"/>
  </r>
  <r>
    <x v="0"/>
    <x v="0"/>
    <n v="302001"/>
    <x v="8"/>
    <x v="7"/>
    <n v="0.68"/>
  </r>
  <r>
    <x v="0"/>
    <x v="0"/>
    <n v="302001"/>
    <x v="8"/>
    <x v="8"/>
    <n v="0.34"/>
  </r>
  <r>
    <x v="0"/>
    <x v="0"/>
    <n v="302001"/>
    <x v="8"/>
    <x v="9"/>
    <n v="0.14000000000000001"/>
  </r>
  <r>
    <x v="0"/>
    <x v="0"/>
    <n v="226001"/>
    <x v="9"/>
    <x v="7"/>
    <n v="0.38"/>
  </r>
  <r>
    <x v="0"/>
    <x v="0"/>
    <n v="226001"/>
    <x v="9"/>
    <x v="8"/>
    <n v="0.25"/>
  </r>
  <r>
    <x v="0"/>
    <x v="0"/>
    <n v="226001"/>
    <x v="9"/>
    <x v="9"/>
    <n v="0.13"/>
  </r>
  <r>
    <x v="0"/>
    <x v="0"/>
    <n v="800008"/>
    <x v="10"/>
    <x v="7"/>
    <n v="0.53"/>
  </r>
  <r>
    <x v="0"/>
    <x v="0"/>
    <n v="800008"/>
    <x v="10"/>
    <x v="8"/>
    <n v="0.21"/>
  </r>
  <r>
    <x v="0"/>
    <x v="0"/>
    <n v="800008"/>
    <x v="10"/>
    <x v="9"/>
    <n v="0.11"/>
  </r>
  <r>
    <x v="0"/>
    <x v="0"/>
    <n v="641001"/>
    <x v="11"/>
    <x v="7"/>
    <n v="0.15"/>
  </r>
  <r>
    <x v="0"/>
    <x v="0"/>
    <n v="641001"/>
    <x v="11"/>
    <x v="8"/>
    <n v="0.09"/>
  </r>
  <r>
    <x v="0"/>
    <x v="0"/>
    <n v="641001"/>
    <x v="11"/>
    <x v="9"/>
    <n v="0.04"/>
  </r>
  <r>
    <x v="0"/>
    <x v="0"/>
    <n v="160017"/>
    <x v="12"/>
    <x v="7"/>
    <n v="0.14000000000000001"/>
  </r>
  <r>
    <x v="0"/>
    <x v="0"/>
    <n v="160017"/>
    <x v="12"/>
    <x v="8"/>
    <n v="0.06"/>
  </r>
  <r>
    <x v="0"/>
    <x v="0"/>
    <n v="160017"/>
    <x v="12"/>
    <x v="9"/>
    <n v="0.06"/>
  </r>
  <r>
    <x v="0"/>
    <x v="0"/>
    <n v="122001"/>
    <x v="13"/>
    <x v="7"/>
    <n v="0.14000000000000001"/>
  </r>
  <r>
    <x v="0"/>
    <x v="0"/>
    <n v="122001"/>
    <x v="13"/>
    <x v="8"/>
    <n v="0.06"/>
  </r>
  <r>
    <x v="0"/>
    <x v="0"/>
    <n v="122001"/>
    <x v="13"/>
    <x v="9"/>
    <n v="0.06"/>
  </r>
  <r>
    <x v="0"/>
    <x v="0"/>
    <n v="492001"/>
    <x v="14"/>
    <x v="7"/>
    <n v="0.09"/>
  </r>
  <r>
    <x v="0"/>
    <x v="0"/>
    <n v="492001"/>
    <x v="14"/>
    <x v="8"/>
    <n v="0.05"/>
  </r>
  <r>
    <x v="0"/>
    <x v="0"/>
    <n v="492001"/>
    <x v="14"/>
    <x v="9"/>
    <n v="0.04"/>
  </r>
  <r>
    <x v="1"/>
    <x v="0"/>
    <n v="400001"/>
    <x v="0"/>
    <x v="7"/>
    <n v="1.61"/>
  </r>
  <r>
    <x v="1"/>
    <x v="0"/>
    <n v="400001"/>
    <x v="0"/>
    <x v="8"/>
    <n v="1.01"/>
  </r>
  <r>
    <x v="1"/>
    <x v="0"/>
    <n v="400001"/>
    <x v="0"/>
    <x v="9"/>
    <n v="0.4"/>
  </r>
  <r>
    <x v="1"/>
    <x v="0"/>
    <n v="110001"/>
    <x v="1"/>
    <x v="7"/>
    <n v="1.32"/>
  </r>
  <r>
    <x v="1"/>
    <x v="0"/>
    <n v="110001"/>
    <x v="1"/>
    <x v="8"/>
    <n v="0.49"/>
  </r>
  <r>
    <x v="1"/>
    <x v="0"/>
    <n v="110001"/>
    <x v="1"/>
    <x v="9"/>
    <n v="0.33"/>
  </r>
  <r>
    <x v="1"/>
    <x v="0"/>
    <n v="700001"/>
    <x v="2"/>
    <x v="7"/>
    <n v="1.23"/>
  </r>
  <r>
    <x v="1"/>
    <x v="0"/>
    <n v="700001"/>
    <x v="2"/>
    <x v="8"/>
    <n v="0.61"/>
  </r>
  <r>
    <x v="1"/>
    <x v="0"/>
    <n v="700001"/>
    <x v="2"/>
    <x v="9"/>
    <n v="0.46"/>
  </r>
  <r>
    <x v="1"/>
    <x v="0"/>
    <n v="560001"/>
    <x v="3"/>
    <x v="7"/>
    <n v="1.76"/>
  </r>
  <r>
    <x v="1"/>
    <x v="0"/>
    <n v="560001"/>
    <x v="3"/>
    <x v="8"/>
    <n v="0.71"/>
  </r>
  <r>
    <x v="1"/>
    <x v="0"/>
    <n v="560001"/>
    <x v="3"/>
    <x v="9"/>
    <n v="0.53"/>
  </r>
  <r>
    <x v="1"/>
    <x v="0"/>
    <n v="600001"/>
    <x v="4"/>
    <x v="7"/>
    <n v="1.7"/>
  </r>
  <r>
    <x v="1"/>
    <x v="0"/>
    <n v="600001"/>
    <x v="4"/>
    <x v="8"/>
    <n v="0.85"/>
  </r>
  <r>
    <x v="1"/>
    <x v="0"/>
    <n v="600001"/>
    <x v="4"/>
    <x v="9"/>
    <n v="0.64"/>
  </r>
  <r>
    <x v="1"/>
    <x v="0"/>
    <n v="500001"/>
    <x v="5"/>
    <x v="7"/>
    <n v="0.81"/>
  </r>
  <r>
    <x v="1"/>
    <x v="0"/>
    <n v="500001"/>
    <x v="5"/>
    <x v="8"/>
    <n v="0.35"/>
  </r>
  <r>
    <x v="1"/>
    <x v="0"/>
    <n v="500001"/>
    <x v="5"/>
    <x v="9"/>
    <n v="0.35"/>
  </r>
  <r>
    <x v="1"/>
    <x v="0"/>
    <n v="411001"/>
    <x v="6"/>
    <x v="7"/>
    <n v="0.89"/>
  </r>
  <r>
    <x v="1"/>
    <x v="0"/>
    <n v="411001"/>
    <x v="6"/>
    <x v="8"/>
    <n v="0.39"/>
  </r>
  <r>
    <x v="1"/>
    <x v="0"/>
    <n v="411001"/>
    <x v="6"/>
    <x v="9"/>
    <n v="0.39"/>
  </r>
  <r>
    <x v="1"/>
    <x v="0"/>
    <n v="380001"/>
    <x v="7"/>
    <x v="7"/>
    <n v="0.6"/>
  </r>
  <r>
    <x v="1"/>
    <x v="0"/>
    <n v="380001"/>
    <x v="7"/>
    <x v="8"/>
    <n v="0.3"/>
  </r>
  <r>
    <x v="1"/>
    <x v="0"/>
    <n v="380001"/>
    <x v="7"/>
    <x v="9"/>
    <n v="0.06"/>
  </r>
  <r>
    <x v="1"/>
    <x v="0"/>
    <n v="302001"/>
    <x v="8"/>
    <x v="7"/>
    <n v="0.3"/>
  </r>
  <r>
    <x v="1"/>
    <x v="0"/>
    <n v="302001"/>
    <x v="8"/>
    <x v="8"/>
    <n v="0.22"/>
  </r>
  <r>
    <x v="1"/>
    <x v="0"/>
    <n v="302001"/>
    <x v="8"/>
    <x v="9"/>
    <n v="0.04"/>
  </r>
  <r>
    <x v="1"/>
    <x v="0"/>
    <n v="226001"/>
    <x v="9"/>
    <x v="7"/>
    <n v="0.65"/>
  </r>
  <r>
    <x v="1"/>
    <x v="0"/>
    <n v="226001"/>
    <x v="9"/>
    <x v="8"/>
    <n v="0.37"/>
  </r>
  <r>
    <x v="1"/>
    <x v="0"/>
    <n v="226001"/>
    <x v="9"/>
    <x v="9"/>
    <n v="0.09"/>
  </r>
  <r>
    <x v="1"/>
    <x v="0"/>
    <n v="800008"/>
    <x v="10"/>
    <x v="7"/>
    <n v="0.34"/>
  </r>
  <r>
    <x v="1"/>
    <x v="0"/>
    <n v="800008"/>
    <x v="10"/>
    <x v="8"/>
    <n v="0.15"/>
  </r>
  <r>
    <x v="1"/>
    <x v="0"/>
    <n v="800008"/>
    <x v="10"/>
    <x v="9"/>
    <n v="0.04"/>
  </r>
  <r>
    <x v="1"/>
    <x v="0"/>
    <n v="641001"/>
    <x v="11"/>
    <x v="7"/>
    <n v="0.33"/>
  </r>
  <r>
    <x v="1"/>
    <x v="0"/>
    <n v="641001"/>
    <x v="11"/>
    <x v="8"/>
    <n v="0.18"/>
  </r>
  <r>
    <x v="1"/>
    <x v="0"/>
    <n v="641001"/>
    <x v="11"/>
    <x v="9"/>
    <n v="0.15"/>
  </r>
  <r>
    <x v="1"/>
    <x v="0"/>
    <n v="160017"/>
    <x v="12"/>
    <x v="7"/>
    <n v="0.18"/>
  </r>
  <r>
    <x v="1"/>
    <x v="0"/>
    <n v="160017"/>
    <x v="12"/>
    <x v="8"/>
    <n v="0.09"/>
  </r>
  <r>
    <x v="1"/>
    <x v="0"/>
    <n v="160017"/>
    <x v="12"/>
    <x v="9"/>
    <n v="0.04"/>
  </r>
  <r>
    <x v="1"/>
    <x v="0"/>
    <n v="122001"/>
    <x v="13"/>
    <x v="7"/>
    <n v="0.18"/>
  </r>
  <r>
    <x v="1"/>
    <x v="0"/>
    <n v="122001"/>
    <x v="13"/>
    <x v="8"/>
    <n v="0.16"/>
  </r>
  <r>
    <x v="1"/>
    <x v="0"/>
    <n v="122001"/>
    <x v="13"/>
    <x v="9"/>
    <n v="0.08"/>
  </r>
  <r>
    <x v="1"/>
    <x v="0"/>
    <n v="492001"/>
    <x v="14"/>
    <x v="7"/>
    <n v="0.11"/>
  </r>
  <r>
    <x v="1"/>
    <x v="0"/>
    <n v="492001"/>
    <x v="14"/>
    <x v="8"/>
    <n v="0.06"/>
  </r>
  <r>
    <x v="1"/>
    <x v="0"/>
    <n v="492001"/>
    <x v="14"/>
    <x v="9"/>
    <n v="0.06"/>
  </r>
  <r>
    <x v="2"/>
    <x v="0"/>
    <n v="400001"/>
    <x v="0"/>
    <x v="7"/>
    <n v="1.28"/>
  </r>
  <r>
    <x v="2"/>
    <x v="0"/>
    <n v="400001"/>
    <x v="0"/>
    <x v="8"/>
    <n v="0.55000000000000004"/>
  </r>
  <r>
    <x v="2"/>
    <x v="0"/>
    <n v="400001"/>
    <x v="0"/>
    <x v="9"/>
    <n v="0.37"/>
  </r>
  <r>
    <x v="2"/>
    <x v="0"/>
    <n v="110001"/>
    <x v="1"/>
    <x v="7"/>
    <n v="1.46"/>
  </r>
  <r>
    <x v="2"/>
    <x v="0"/>
    <n v="110001"/>
    <x v="1"/>
    <x v="8"/>
    <n v="0.81"/>
  </r>
  <r>
    <x v="2"/>
    <x v="0"/>
    <n v="110001"/>
    <x v="1"/>
    <x v="9"/>
    <n v="0.32"/>
  </r>
  <r>
    <x v="2"/>
    <x v="0"/>
    <n v="700001"/>
    <x v="2"/>
    <x v="7"/>
    <n v="1.77"/>
  </r>
  <r>
    <x v="2"/>
    <x v="0"/>
    <n v="700001"/>
    <x v="2"/>
    <x v="8"/>
    <n v="0.89"/>
  </r>
  <r>
    <x v="2"/>
    <x v="0"/>
    <n v="700001"/>
    <x v="2"/>
    <x v="9"/>
    <n v="0.67"/>
  </r>
  <r>
    <x v="2"/>
    <x v="0"/>
    <n v="560001"/>
    <x v="3"/>
    <x v="7"/>
    <n v="1.24"/>
  </r>
  <r>
    <x v="2"/>
    <x v="0"/>
    <n v="560001"/>
    <x v="3"/>
    <x v="8"/>
    <n v="0.62"/>
  </r>
  <r>
    <x v="2"/>
    <x v="0"/>
    <n v="560001"/>
    <x v="3"/>
    <x v="9"/>
    <n v="0.31"/>
  </r>
  <r>
    <x v="2"/>
    <x v="0"/>
    <n v="600001"/>
    <x v="4"/>
    <x v="7"/>
    <n v="0.74"/>
  </r>
  <r>
    <x v="2"/>
    <x v="0"/>
    <n v="600001"/>
    <x v="4"/>
    <x v="8"/>
    <n v="0.37"/>
  </r>
  <r>
    <x v="2"/>
    <x v="0"/>
    <n v="600001"/>
    <x v="4"/>
    <x v="9"/>
    <n v="0.37"/>
  </r>
  <r>
    <x v="2"/>
    <x v="0"/>
    <n v="500001"/>
    <x v="5"/>
    <x v="7"/>
    <n v="0.87"/>
  </r>
  <r>
    <x v="2"/>
    <x v="0"/>
    <n v="500001"/>
    <x v="5"/>
    <x v="8"/>
    <n v="0.48"/>
  </r>
  <r>
    <x v="2"/>
    <x v="0"/>
    <n v="500001"/>
    <x v="5"/>
    <x v="9"/>
    <n v="0.28999999999999998"/>
  </r>
  <r>
    <x v="2"/>
    <x v="0"/>
    <n v="411001"/>
    <x v="6"/>
    <x v="7"/>
    <n v="0.88"/>
  </r>
  <r>
    <x v="2"/>
    <x v="0"/>
    <n v="411001"/>
    <x v="6"/>
    <x v="8"/>
    <n v="0.44"/>
  </r>
  <r>
    <x v="2"/>
    <x v="0"/>
    <n v="411001"/>
    <x v="6"/>
    <x v="9"/>
    <n v="0.11"/>
  </r>
  <r>
    <x v="2"/>
    <x v="0"/>
    <n v="380001"/>
    <x v="7"/>
    <x v="7"/>
    <n v="0.77"/>
  </r>
  <r>
    <x v="2"/>
    <x v="0"/>
    <n v="380001"/>
    <x v="7"/>
    <x v="8"/>
    <n v="0.39"/>
  </r>
  <r>
    <x v="2"/>
    <x v="0"/>
    <n v="380001"/>
    <x v="7"/>
    <x v="9"/>
    <n v="0.39"/>
  </r>
  <r>
    <x v="2"/>
    <x v="0"/>
    <n v="302001"/>
    <x v="8"/>
    <x v="7"/>
    <n v="0.37"/>
  </r>
  <r>
    <x v="2"/>
    <x v="0"/>
    <n v="302001"/>
    <x v="8"/>
    <x v="8"/>
    <n v="0.26"/>
  </r>
  <r>
    <x v="2"/>
    <x v="0"/>
    <n v="302001"/>
    <x v="8"/>
    <x v="9"/>
    <n v="0.05"/>
  </r>
  <r>
    <x v="2"/>
    <x v="0"/>
    <n v="226001"/>
    <x v="9"/>
    <x v="7"/>
    <n v="0.43"/>
  </r>
  <r>
    <x v="2"/>
    <x v="0"/>
    <n v="226001"/>
    <x v="9"/>
    <x v="8"/>
    <n v="0.24"/>
  </r>
  <r>
    <x v="2"/>
    <x v="0"/>
    <n v="226001"/>
    <x v="9"/>
    <x v="9"/>
    <n v="0.09"/>
  </r>
  <r>
    <x v="2"/>
    <x v="0"/>
    <n v="800008"/>
    <x v="10"/>
    <x v="7"/>
    <n v="0.28000000000000003"/>
  </r>
  <r>
    <x v="2"/>
    <x v="0"/>
    <n v="800008"/>
    <x v="10"/>
    <x v="8"/>
    <n v="0.19"/>
  </r>
  <r>
    <x v="2"/>
    <x v="0"/>
    <n v="800008"/>
    <x v="10"/>
    <x v="9"/>
    <n v="0.09"/>
  </r>
  <r>
    <x v="2"/>
    <x v="0"/>
    <n v="641001"/>
    <x v="11"/>
    <x v="7"/>
    <n v="0.48"/>
  </r>
  <r>
    <x v="2"/>
    <x v="0"/>
    <n v="641001"/>
    <x v="11"/>
    <x v="8"/>
    <n v="0.24"/>
  </r>
  <r>
    <x v="2"/>
    <x v="0"/>
    <n v="641001"/>
    <x v="11"/>
    <x v="9"/>
    <n v="0.12"/>
  </r>
  <r>
    <x v="2"/>
    <x v="0"/>
    <n v="160017"/>
    <x v="12"/>
    <x v="7"/>
    <n v="0.26"/>
  </r>
  <r>
    <x v="2"/>
    <x v="0"/>
    <n v="160017"/>
    <x v="12"/>
    <x v="8"/>
    <n v="0.09"/>
  </r>
  <r>
    <x v="2"/>
    <x v="0"/>
    <n v="160017"/>
    <x v="12"/>
    <x v="9"/>
    <n v="0.09"/>
  </r>
  <r>
    <x v="2"/>
    <x v="0"/>
    <n v="122001"/>
    <x v="13"/>
    <x v="7"/>
    <n v="0.12"/>
  </r>
  <r>
    <x v="2"/>
    <x v="0"/>
    <n v="122001"/>
    <x v="13"/>
    <x v="8"/>
    <n v="7.0000000000000007E-2"/>
  </r>
  <r>
    <x v="2"/>
    <x v="0"/>
    <n v="122001"/>
    <x v="13"/>
    <x v="9"/>
    <n v="0.05"/>
  </r>
  <r>
    <x v="2"/>
    <x v="0"/>
    <n v="492001"/>
    <x v="14"/>
    <x v="7"/>
    <n v="0.11"/>
  </r>
  <r>
    <x v="2"/>
    <x v="0"/>
    <n v="492001"/>
    <x v="14"/>
    <x v="8"/>
    <n v="0.06"/>
  </r>
  <r>
    <x v="2"/>
    <x v="0"/>
    <n v="492001"/>
    <x v="14"/>
    <x v="9"/>
    <n v="0.04"/>
  </r>
  <r>
    <x v="3"/>
    <x v="0"/>
    <n v="400001"/>
    <x v="0"/>
    <x v="7"/>
    <n v="1.53"/>
  </r>
  <r>
    <x v="3"/>
    <x v="0"/>
    <n v="400001"/>
    <x v="0"/>
    <x v="8"/>
    <n v="0.85"/>
  </r>
  <r>
    <x v="3"/>
    <x v="0"/>
    <n v="400001"/>
    <x v="0"/>
    <x v="9"/>
    <n v="0.51"/>
  </r>
  <r>
    <x v="3"/>
    <x v="0"/>
    <n v="110001"/>
    <x v="1"/>
    <x v="7"/>
    <n v="1.23"/>
  </r>
  <r>
    <x v="3"/>
    <x v="0"/>
    <n v="110001"/>
    <x v="1"/>
    <x v="8"/>
    <n v="0.55000000000000004"/>
  </r>
  <r>
    <x v="3"/>
    <x v="0"/>
    <n v="110001"/>
    <x v="1"/>
    <x v="9"/>
    <n v="0.41"/>
  </r>
  <r>
    <x v="3"/>
    <x v="0"/>
    <n v="700001"/>
    <x v="2"/>
    <x v="7"/>
    <n v="1.31"/>
  </r>
  <r>
    <x v="3"/>
    <x v="0"/>
    <n v="700001"/>
    <x v="2"/>
    <x v="8"/>
    <n v="0.57999999999999996"/>
  </r>
  <r>
    <x v="3"/>
    <x v="0"/>
    <n v="700001"/>
    <x v="2"/>
    <x v="9"/>
    <n v="0.44"/>
  </r>
  <r>
    <x v="3"/>
    <x v="0"/>
    <n v="560001"/>
    <x v="3"/>
    <x v="7"/>
    <n v="1.51"/>
  </r>
  <r>
    <x v="3"/>
    <x v="0"/>
    <n v="560001"/>
    <x v="3"/>
    <x v="8"/>
    <n v="0.45"/>
  </r>
  <r>
    <x v="3"/>
    <x v="0"/>
    <n v="560001"/>
    <x v="3"/>
    <x v="9"/>
    <n v="0.6"/>
  </r>
  <r>
    <x v="3"/>
    <x v="0"/>
    <n v="600001"/>
    <x v="4"/>
    <x v="7"/>
    <n v="0.86"/>
  </r>
  <r>
    <x v="3"/>
    <x v="0"/>
    <n v="600001"/>
    <x v="4"/>
    <x v="8"/>
    <n v="0.49"/>
  </r>
  <r>
    <x v="3"/>
    <x v="0"/>
    <n v="600001"/>
    <x v="4"/>
    <x v="9"/>
    <n v="0.49"/>
  </r>
  <r>
    <x v="3"/>
    <x v="0"/>
    <n v="500001"/>
    <x v="5"/>
    <x v="7"/>
    <n v="0.71"/>
  </r>
  <r>
    <x v="3"/>
    <x v="0"/>
    <n v="500001"/>
    <x v="5"/>
    <x v="8"/>
    <n v="0.4"/>
  </r>
  <r>
    <x v="3"/>
    <x v="0"/>
    <n v="500001"/>
    <x v="5"/>
    <x v="9"/>
    <n v="0.24"/>
  </r>
  <r>
    <x v="3"/>
    <x v="0"/>
    <n v="411001"/>
    <x v="6"/>
    <x v="7"/>
    <n v="1.3"/>
  </r>
  <r>
    <x v="3"/>
    <x v="0"/>
    <n v="411001"/>
    <x v="6"/>
    <x v="8"/>
    <n v="0.81"/>
  </r>
  <r>
    <x v="3"/>
    <x v="0"/>
    <n v="411001"/>
    <x v="6"/>
    <x v="9"/>
    <n v="0.16"/>
  </r>
  <r>
    <x v="3"/>
    <x v="0"/>
    <n v="380001"/>
    <x v="7"/>
    <x v="7"/>
    <n v="0.62"/>
  </r>
  <r>
    <x v="3"/>
    <x v="0"/>
    <n v="380001"/>
    <x v="7"/>
    <x v="8"/>
    <n v="0.53"/>
  </r>
  <r>
    <x v="3"/>
    <x v="0"/>
    <n v="380001"/>
    <x v="7"/>
    <x v="9"/>
    <n v="0.18"/>
  </r>
  <r>
    <x v="3"/>
    <x v="0"/>
    <n v="302001"/>
    <x v="8"/>
    <x v="7"/>
    <n v="0.42"/>
  </r>
  <r>
    <x v="3"/>
    <x v="0"/>
    <n v="302001"/>
    <x v="8"/>
    <x v="8"/>
    <n v="0.19"/>
  </r>
  <r>
    <x v="3"/>
    <x v="0"/>
    <n v="302001"/>
    <x v="8"/>
    <x v="9"/>
    <n v="0.14000000000000001"/>
  </r>
  <r>
    <x v="3"/>
    <x v="0"/>
    <n v="226001"/>
    <x v="9"/>
    <x v="7"/>
    <n v="0.36"/>
  </r>
  <r>
    <x v="3"/>
    <x v="0"/>
    <n v="226001"/>
    <x v="9"/>
    <x v="8"/>
    <n v="0.27"/>
  </r>
  <r>
    <x v="3"/>
    <x v="0"/>
    <n v="226001"/>
    <x v="9"/>
    <x v="9"/>
    <n v="0.09"/>
  </r>
  <r>
    <x v="3"/>
    <x v="0"/>
    <n v="800008"/>
    <x v="10"/>
    <x v="7"/>
    <n v="0.39"/>
  </r>
  <r>
    <x v="3"/>
    <x v="0"/>
    <n v="800008"/>
    <x v="10"/>
    <x v="8"/>
    <n v="0.19"/>
  </r>
  <r>
    <x v="3"/>
    <x v="0"/>
    <n v="800008"/>
    <x v="10"/>
    <x v="9"/>
    <n v="0.16"/>
  </r>
  <r>
    <x v="3"/>
    <x v="0"/>
    <n v="641001"/>
    <x v="11"/>
    <x v="7"/>
    <n v="0.22"/>
  </r>
  <r>
    <x v="3"/>
    <x v="0"/>
    <n v="641001"/>
    <x v="11"/>
    <x v="8"/>
    <n v="0.13"/>
  </r>
  <r>
    <x v="3"/>
    <x v="0"/>
    <n v="641001"/>
    <x v="11"/>
    <x v="9"/>
    <n v="0.13"/>
  </r>
  <r>
    <x v="3"/>
    <x v="0"/>
    <n v="160017"/>
    <x v="12"/>
    <x v="7"/>
    <n v="0.28999999999999998"/>
  </r>
  <r>
    <x v="3"/>
    <x v="0"/>
    <n v="160017"/>
    <x v="12"/>
    <x v="8"/>
    <n v="0.18"/>
  </r>
  <r>
    <x v="3"/>
    <x v="0"/>
    <n v="160017"/>
    <x v="12"/>
    <x v="9"/>
    <n v="0.11"/>
  </r>
  <r>
    <x v="3"/>
    <x v="0"/>
    <n v="122001"/>
    <x v="13"/>
    <x v="7"/>
    <n v="0.14000000000000001"/>
  </r>
  <r>
    <x v="3"/>
    <x v="0"/>
    <n v="122001"/>
    <x v="13"/>
    <x v="8"/>
    <n v="0.1"/>
  </r>
  <r>
    <x v="3"/>
    <x v="0"/>
    <n v="122001"/>
    <x v="13"/>
    <x v="9"/>
    <n v="0.05"/>
  </r>
  <r>
    <x v="3"/>
    <x v="0"/>
    <n v="492001"/>
    <x v="14"/>
    <x v="7"/>
    <n v="0.11"/>
  </r>
  <r>
    <x v="3"/>
    <x v="0"/>
    <n v="492001"/>
    <x v="14"/>
    <x v="8"/>
    <n v="0.08"/>
  </r>
  <r>
    <x v="3"/>
    <x v="0"/>
    <n v="492001"/>
    <x v="14"/>
    <x v="9"/>
    <n v="0.05"/>
  </r>
  <r>
    <x v="4"/>
    <x v="1"/>
    <n v="400001"/>
    <x v="0"/>
    <x v="10"/>
    <n v="7.24"/>
  </r>
  <r>
    <x v="4"/>
    <x v="1"/>
    <n v="400001"/>
    <x v="0"/>
    <x v="11"/>
    <n v="4.4000000000000004"/>
  </r>
  <r>
    <x v="4"/>
    <x v="1"/>
    <n v="400001"/>
    <x v="0"/>
    <x v="12"/>
    <n v="1.29"/>
  </r>
  <r>
    <x v="4"/>
    <x v="1"/>
    <n v="110001"/>
    <x v="1"/>
    <x v="10"/>
    <n v="4.42"/>
  </r>
  <r>
    <x v="4"/>
    <x v="1"/>
    <n v="110001"/>
    <x v="1"/>
    <x v="11"/>
    <n v="2.94"/>
  </r>
  <r>
    <x v="4"/>
    <x v="1"/>
    <n v="110001"/>
    <x v="1"/>
    <x v="12"/>
    <n v="1.18"/>
  </r>
  <r>
    <x v="4"/>
    <x v="1"/>
    <n v="700001"/>
    <x v="2"/>
    <x v="10"/>
    <n v="4.03"/>
  </r>
  <r>
    <x v="4"/>
    <x v="1"/>
    <n v="700001"/>
    <x v="2"/>
    <x v="11"/>
    <n v="2.5499999999999998"/>
  </r>
  <r>
    <x v="4"/>
    <x v="1"/>
    <n v="700001"/>
    <x v="2"/>
    <x v="12"/>
    <n v="0.67"/>
  </r>
  <r>
    <x v="4"/>
    <x v="1"/>
    <n v="560001"/>
    <x v="3"/>
    <x v="10"/>
    <n v="4.34"/>
  </r>
  <r>
    <x v="4"/>
    <x v="1"/>
    <n v="560001"/>
    <x v="3"/>
    <x v="11"/>
    <n v="2.73"/>
  </r>
  <r>
    <x v="4"/>
    <x v="1"/>
    <n v="560001"/>
    <x v="3"/>
    <x v="12"/>
    <n v="0.48"/>
  </r>
  <r>
    <x v="4"/>
    <x v="1"/>
    <n v="600001"/>
    <x v="4"/>
    <x v="10"/>
    <n v="4.3600000000000003"/>
  </r>
  <r>
    <x v="4"/>
    <x v="1"/>
    <n v="600001"/>
    <x v="4"/>
    <x v="11"/>
    <n v="2.25"/>
  </r>
  <r>
    <x v="4"/>
    <x v="1"/>
    <n v="600001"/>
    <x v="4"/>
    <x v="12"/>
    <n v="0.93"/>
  </r>
  <r>
    <x v="4"/>
    <x v="1"/>
    <n v="500001"/>
    <x v="5"/>
    <x v="10"/>
    <n v="3.19"/>
  </r>
  <r>
    <x v="4"/>
    <x v="1"/>
    <n v="500001"/>
    <x v="5"/>
    <x v="11"/>
    <n v="2.09"/>
  </r>
  <r>
    <x v="4"/>
    <x v="1"/>
    <n v="500001"/>
    <x v="5"/>
    <x v="12"/>
    <n v="0.55000000000000004"/>
  </r>
  <r>
    <x v="4"/>
    <x v="1"/>
    <n v="411001"/>
    <x v="6"/>
    <x v="10"/>
    <n v="2.79"/>
  </r>
  <r>
    <x v="4"/>
    <x v="1"/>
    <n v="411001"/>
    <x v="6"/>
    <x v="11"/>
    <n v="1.71"/>
  </r>
  <r>
    <x v="4"/>
    <x v="1"/>
    <n v="411001"/>
    <x v="6"/>
    <x v="12"/>
    <n v="0.36"/>
  </r>
  <r>
    <x v="4"/>
    <x v="1"/>
    <n v="380001"/>
    <x v="7"/>
    <x v="10"/>
    <n v="2.67"/>
  </r>
  <r>
    <x v="4"/>
    <x v="1"/>
    <n v="380001"/>
    <x v="7"/>
    <x v="11"/>
    <n v="1.45"/>
  </r>
  <r>
    <x v="4"/>
    <x v="1"/>
    <n v="380001"/>
    <x v="7"/>
    <x v="12"/>
    <n v="0.56999999999999995"/>
  </r>
  <r>
    <x v="4"/>
    <x v="1"/>
    <n v="302001"/>
    <x v="8"/>
    <x v="10"/>
    <n v="2.5299999999999998"/>
  </r>
  <r>
    <x v="4"/>
    <x v="1"/>
    <n v="302001"/>
    <x v="8"/>
    <x v="11"/>
    <n v="1.55"/>
  </r>
  <r>
    <x v="4"/>
    <x v="1"/>
    <n v="302001"/>
    <x v="8"/>
    <x v="12"/>
    <n v="0.33"/>
  </r>
  <r>
    <x v="4"/>
    <x v="1"/>
    <n v="226001"/>
    <x v="9"/>
    <x v="10"/>
    <n v="1.24"/>
  </r>
  <r>
    <x v="4"/>
    <x v="1"/>
    <n v="226001"/>
    <x v="9"/>
    <x v="11"/>
    <n v="0.79"/>
  </r>
  <r>
    <x v="4"/>
    <x v="1"/>
    <n v="226001"/>
    <x v="9"/>
    <x v="12"/>
    <n v="0.12"/>
  </r>
  <r>
    <x v="4"/>
    <x v="1"/>
    <n v="800008"/>
    <x v="10"/>
    <x v="10"/>
    <n v="1.76"/>
  </r>
  <r>
    <x v="4"/>
    <x v="1"/>
    <n v="800008"/>
    <x v="10"/>
    <x v="11"/>
    <n v="1.18"/>
  </r>
  <r>
    <x v="4"/>
    <x v="1"/>
    <n v="800008"/>
    <x v="10"/>
    <x v="12"/>
    <n v="0.26"/>
  </r>
  <r>
    <x v="4"/>
    <x v="1"/>
    <n v="641001"/>
    <x v="11"/>
    <x v="10"/>
    <n v="0.89"/>
  </r>
  <r>
    <x v="4"/>
    <x v="1"/>
    <n v="641001"/>
    <x v="11"/>
    <x v="11"/>
    <n v="0.57999999999999996"/>
  </r>
  <r>
    <x v="4"/>
    <x v="1"/>
    <n v="641001"/>
    <x v="11"/>
    <x v="12"/>
    <n v="0.14000000000000001"/>
  </r>
  <r>
    <x v="4"/>
    <x v="1"/>
    <n v="160017"/>
    <x v="12"/>
    <x v="10"/>
    <n v="0.79"/>
  </r>
  <r>
    <x v="4"/>
    <x v="1"/>
    <n v="160017"/>
    <x v="12"/>
    <x v="11"/>
    <n v="0.5"/>
  </r>
  <r>
    <x v="4"/>
    <x v="1"/>
    <n v="160017"/>
    <x v="12"/>
    <x v="12"/>
    <n v="0.1"/>
  </r>
  <r>
    <x v="4"/>
    <x v="1"/>
    <n v="122001"/>
    <x v="13"/>
    <x v="10"/>
    <n v="0.61"/>
  </r>
  <r>
    <x v="4"/>
    <x v="1"/>
    <n v="122001"/>
    <x v="13"/>
    <x v="11"/>
    <n v="0.4"/>
  </r>
  <r>
    <x v="4"/>
    <x v="1"/>
    <n v="122001"/>
    <x v="13"/>
    <x v="12"/>
    <n v="0.12"/>
  </r>
  <r>
    <x v="4"/>
    <x v="1"/>
    <n v="492001"/>
    <x v="14"/>
    <x v="10"/>
    <n v="0.56999999999999995"/>
  </r>
  <r>
    <x v="4"/>
    <x v="1"/>
    <n v="492001"/>
    <x v="14"/>
    <x v="11"/>
    <n v="0.39"/>
  </r>
  <r>
    <x v="4"/>
    <x v="1"/>
    <n v="492001"/>
    <x v="14"/>
    <x v="12"/>
    <n v="0.11"/>
  </r>
  <r>
    <x v="5"/>
    <x v="1"/>
    <n v="400001"/>
    <x v="0"/>
    <x v="10"/>
    <n v="6.03"/>
  </r>
  <r>
    <x v="5"/>
    <x v="1"/>
    <n v="400001"/>
    <x v="0"/>
    <x v="11"/>
    <n v="4.47"/>
  </r>
  <r>
    <x v="5"/>
    <x v="1"/>
    <n v="400001"/>
    <x v="0"/>
    <x v="12"/>
    <n v="0.89"/>
  </r>
  <r>
    <x v="5"/>
    <x v="1"/>
    <n v="110001"/>
    <x v="1"/>
    <x v="10"/>
    <n v="6.87"/>
  </r>
  <r>
    <x v="5"/>
    <x v="1"/>
    <n v="110001"/>
    <x v="1"/>
    <x v="11"/>
    <n v="3.95"/>
  </r>
  <r>
    <x v="5"/>
    <x v="1"/>
    <n v="110001"/>
    <x v="1"/>
    <x v="12"/>
    <n v="1.46"/>
  </r>
  <r>
    <x v="5"/>
    <x v="1"/>
    <n v="700001"/>
    <x v="2"/>
    <x v="10"/>
    <n v="3.82"/>
  </r>
  <r>
    <x v="5"/>
    <x v="1"/>
    <n v="700001"/>
    <x v="2"/>
    <x v="11"/>
    <n v="2.73"/>
  </r>
  <r>
    <x v="5"/>
    <x v="1"/>
    <n v="700001"/>
    <x v="2"/>
    <x v="12"/>
    <n v="0.68"/>
  </r>
  <r>
    <x v="5"/>
    <x v="1"/>
    <n v="560001"/>
    <x v="3"/>
    <x v="10"/>
    <n v="5.37"/>
  </r>
  <r>
    <x v="5"/>
    <x v="1"/>
    <n v="560001"/>
    <x v="3"/>
    <x v="11"/>
    <n v="2.77"/>
  </r>
  <r>
    <x v="5"/>
    <x v="1"/>
    <n v="560001"/>
    <x v="3"/>
    <x v="12"/>
    <n v="1.1399999999999999"/>
  </r>
  <r>
    <x v="5"/>
    <x v="1"/>
    <n v="600001"/>
    <x v="4"/>
    <x v="10"/>
    <n v="6.86"/>
  </r>
  <r>
    <x v="5"/>
    <x v="1"/>
    <n v="600001"/>
    <x v="4"/>
    <x v="11"/>
    <n v="3.76"/>
  </r>
  <r>
    <x v="5"/>
    <x v="1"/>
    <n v="600001"/>
    <x v="4"/>
    <x v="12"/>
    <n v="0.66"/>
  </r>
  <r>
    <x v="5"/>
    <x v="1"/>
    <n v="500001"/>
    <x v="5"/>
    <x v="10"/>
    <n v="4.34"/>
  </r>
  <r>
    <x v="5"/>
    <x v="1"/>
    <n v="500001"/>
    <x v="5"/>
    <x v="11"/>
    <n v="2.71"/>
  </r>
  <r>
    <x v="5"/>
    <x v="1"/>
    <n v="500001"/>
    <x v="5"/>
    <x v="12"/>
    <n v="0.41"/>
  </r>
  <r>
    <x v="5"/>
    <x v="1"/>
    <n v="411001"/>
    <x v="6"/>
    <x v="10"/>
    <n v="3.36"/>
  </r>
  <r>
    <x v="5"/>
    <x v="1"/>
    <n v="411001"/>
    <x v="6"/>
    <x v="11"/>
    <n v="2.04"/>
  </r>
  <r>
    <x v="5"/>
    <x v="1"/>
    <n v="411001"/>
    <x v="6"/>
    <x v="12"/>
    <n v="0.51"/>
  </r>
  <r>
    <x v="5"/>
    <x v="1"/>
    <n v="380001"/>
    <x v="7"/>
    <x v="10"/>
    <n v="2.62"/>
  </r>
  <r>
    <x v="5"/>
    <x v="1"/>
    <n v="380001"/>
    <x v="7"/>
    <x v="11"/>
    <n v="1.43"/>
  </r>
  <r>
    <x v="5"/>
    <x v="1"/>
    <n v="380001"/>
    <x v="7"/>
    <x v="12"/>
    <n v="0.4"/>
  </r>
  <r>
    <x v="5"/>
    <x v="1"/>
    <n v="302001"/>
    <x v="8"/>
    <x v="10"/>
    <n v="1.66"/>
  </r>
  <r>
    <x v="5"/>
    <x v="1"/>
    <n v="302001"/>
    <x v="8"/>
    <x v="11"/>
    <n v="1.05"/>
  </r>
  <r>
    <x v="5"/>
    <x v="1"/>
    <n v="302001"/>
    <x v="8"/>
    <x v="12"/>
    <n v="0.39"/>
  </r>
  <r>
    <x v="5"/>
    <x v="1"/>
    <n v="226001"/>
    <x v="9"/>
    <x v="10"/>
    <n v="2.82"/>
  </r>
  <r>
    <x v="5"/>
    <x v="1"/>
    <n v="226001"/>
    <x v="9"/>
    <x v="11"/>
    <n v="1.82"/>
  </r>
  <r>
    <x v="5"/>
    <x v="1"/>
    <n v="226001"/>
    <x v="9"/>
    <x v="12"/>
    <n v="0.55000000000000004"/>
  </r>
  <r>
    <x v="5"/>
    <x v="1"/>
    <n v="800008"/>
    <x v="10"/>
    <x v="10"/>
    <n v="1.1200000000000001"/>
  </r>
  <r>
    <x v="5"/>
    <x v="1"/>
    <n v="800008"/>
    <x v="10"/>
    <x v="11"/>
    <n v="0.8"/>
  </r>
  <r>
    <x v="5"/>
    <x v="1"/>
    <n v="800008"/>
    <x v="10"/>
    <x v="12"/>
    <n v="0.32"/>
  </r>
  <r>
    <x v="5"/>
    <x v="1"/>
    <n v="641001"/>
    <x v="11"/>
    <x v="10"/>
    <n v="1.4"/>
  </r>
  <r>
    <x v="5"/>
    <x v="1"/>
    <n v="641001"/>
    <x v="11"/>
    <x v="11"/>
    <n v="0.93"/>
  </r>
  <r>
    <x v="5"/>
    <x v="1"/>
    <n v="641001"/>
    <x v="11"/>
    <x v="12"/>
    <n v="0.28000000000000003"/>
  </r>
  <r>
    <x v="5"/>
    <x v="1"/>
    <n v="160017"/>
    <x v="12"/>
    <x v="10"/>
    <n v="0.7"/>
  </r>
  <r>
    <x v="5"/>
    <x v="1"/>
    <n v="160017"/>
    <x v="12"/>
    <x v="11"/>
    <n v="0.49"/>
  </r>
  <r>
    <x v="5"/>
    <x v="1"/>
    <n v="160017"/>
    <x v="12"/>
    <x v="12"/>
    <n v="0.17"/>
  </r>
  <r>
    <x v="5"/>
    <x v="1"/>
    <n v="122001"/>
    <x v="13"/>
    <x v="10"/>
    <n v="1.1000000000000001"/>
  </r>
  <r>
    <x v="5"/>
    <x v="1"/>
    <n v="122001"/>
    <x v="13"/>
    <x v="11"/>
    <n v="0.7"/>
  </r>
  <r>
    <x v="5"/>
    <x v="1"/>
    <n v="122001"/>
    <x v="13"/>
    <x v="12"/>
    <n v="0.28999999999999998"/>
  </r>
  <r>
    <x v="5"/>
    <x v="1"/>
    <n v="492001"/>
    <x v="14"/>
    <x v="10"/>
    <n v="0.5"/>
  </r>
  <r>
    <x v="5"/>
    <x v="1"/>
    <n v="492001"/>
    <x v="14"/>
    <x v="11"/>
    <n v="0.33"/>
  </r>
  <r>
    <x v="5"/>
    <x v="1"/>
    <n v="492001"/>
    <x v="14"/>
    <x v="12"/>
    <n v="7.0000000000000007E-2"/>
  </r>
  <r>
    <x v="6"/>
    <x v="1"/>
    <n v="400001"/>
    <x v="0"/>
    <x v="10"/>
    <n v="5.46"/>
  </r>
  <r>
    <x v="6"/>
    <x v="1"/>
    <n v="400001"/>
    <x v="0"/>
    <x v="11"/>
    <n v="3.84"/>
  </r>
  <r>
    <x v="6"/>
    <x v="1"/>
    <n v="400001"/>
    <x v="0"/>
    <x v="12"/>
    <n v="1.01"/>
  </r>
  <r>
    <x v="6"/>
    <x v="1"/>
    <n v="110001"/>
    <x v="1"/>
    <x v="10"/>
    <n v="5.24"/>
  </r>
  <r>
    <x v="6"/>
    <x v="1"/>
    <n v="110001"/>
    <x v="1"/>
    <x v="11"/>
    <n v="3.55"/>
  </r>
  <r>
    <x v="6"/>
    <x v="1"/>
    <n v="110001"/>
    <x v="1"/>
    <x v="12"/>
    <n v="0.75"/>
  </r>
  <r>
    <x v="6"/>
    <x v="1"/>
    <n v="700001"/>
    <x v="2"/>
    <x v="10"/>
    <n v="9.01"/>
  </r>
  <r>
    <x v="6"/>
    <x v="1"/>
    <n v="700001"/>
    <x v="2"/>
    <x v="11"/>
    <n v="5.73"/>
  </r>
  <r>
    <x v="6"/>
    <x v="1"/>
    <n v="700001"/>
    <x v="2"/>
    <x v="12"/>
    <n v="1.36"/>
  </r>
  <r>
    <x v="6"/>
    <x v="1"/>
    <n v="560001"/>
    <x v="3"/>
    <x v="10"/>
    <n v="5.33"/>
  </r>
  <r>
    <x v="6"/>
    <x v="1"/>
    <n v="560001"/>
    <x v="3"/>
    <x v="11"/>
    <n v="3.16"/>
  </r>
  <r>
    <x v="6"/>
    <x v="1"/>
    <n v="560001"/>
    <x v="3"/>
    <x v="12"/>
    <n v="1"/>
  </r>
  <r>
    <x v="6"/>
    <x v="1"/>
    <n v="600001"/>
    <x v="4"/>
    <x v="10"/>
    <n v="3.98"/>
  </r>
  <r>
    <x v="6"/>
    <x v="1"/>
    <n v="600001"/>
    <x v="4"/>
    <x v="11"/>
    <n v="2.17"/>
  </r>
  <r>
    <x v="6"/>
    <x v="1"/>
    <n v="600001"/>
    <x v="4"/>
    <x v="12"/>
    <n v="0.6"/>
  </r>
  <r>
    <x v="6"/>
    <x v="1"/>
    <n v="500001"/>
    <x v="5"/>
    <x v="10"/>
    <n v="3.2"/>
  </r>
  <r>
    <x v="6"/>
    <x v="1"/>
    <n v="500001"/>
    <x v="5"/>
    <x v="11"/>
    <n v="1.99"/>
  </r>
  <r>
    <x v="6"/>
    <x v="1"/>
    <n v="500001"/>
    <x v="5"/>
    <x v="12"/>
    <n v="0.44"/>
  </r>
  <r>
    <x v="6"/>
    <x v="1"/>
    <n v="411001"/>
    <x v="6"/>
    <x v="10"/>
    <n v="3.39"/>
  </r>
  <r>
    <x v="6"/>
    <x v="1"/>
    <n v="411001"/>
    <x v="6"/>
    <x v="11"/>
    <n v="2.15"/>
  </r>
  <r>
    <x v="6"/>
    <x v="1"/>
    <n v="411001"/>
    <x v="6"/>
    <x v="12"/>
    <n v="0.68"/>
  </r>
  <r>
    <x v="6"/>
    <x v="1"/>
    <n v="380001"/>
    <x v="7"/>
    <x v="10"/>
    <n v="3.21"/>
  </r>
  <r>
    <x v="6"/>
    <x v="1"/>
    <n v="380001"/>
    <x v="7"/>
    <x v="11"/>
    <n v="2.3199999999999998"/>
  </r>
  <r>
    <x v="6"/>
    <x v="1"/>
    <n v="380001"/>
    <x v="7"/>
    <x v="12"/>
    <n v="0.77"/>
  </r>
  <r>
    <x v="6"/>
    <x v="1"/>
    <n v="302001"/>
    <x v="8"/>
    <x v="10"/>
    <n v="1.86"/>
  </r>
  <r>
    <x v="6"/>
    <x v="1"/>
    <n v="302001"/>
    <x v="8"/>
    <x v="11"/>
    <n v="1.1299999999999999"/>
  </r>
  <r>
    <x v="6"/>
    <x v="1"/>
    <n v="302001"/>
    <x v="8"/>
    <x v="12"/>
    <n v="0.33"/>
  </r>
  <r>
    <x v="6"/>
    <x v="1"/>
    <n v="226001"/>
    <x v="9"/>
    <x v="10"/>
    <n v="1.64"/>
  </r>
  <r>
    <x v="6"/>
    <x v="1"/>
    <n v="226001"/>
    <x v="9"/>
    <x v="11"/>
    <n v="1.21"/>
  </r>
  <r>
    <x v="6"/>
    <x v="1"/>
    <n v="226001"/>
    <x v="9"/>
    <x v="12"/>
    <n v="0.24"/>
  </r>
  <r>
    <x v="6"/>
    <x v="1"/>
    <n v="800008"/>
    <x v="10"/>
    <x v="10"/>
    <n v="1.2"/>
  </r>
  <r>
    <x v="6"/>
    <x v="1"/>
    <n v="800008"/>
    <x v="10"/>
    <x v="11"/>
    <n v="0.81"/>
  </r>
  <r>
    <x v="6"/>
    <x v="1"/>
    <n v="800008"/>
    <x v="10"/>
    <x v="12"/>
    <n v="0.26"/>
  </r>
  <r>
    <x v="6"/>
    <x v="1"/>
    <n v="641001"/>
    <x v="11"/>
    <x v="10"/>
    <n v="2.17"/>
  </r>
  <r>
    <x v="6"/>
    <x v="1"/>
    <n v="641001"/>
    <x v="11"/>
    <x v="11"/>
    <n v="1.36"/>
  </r>
  <r>
    <x v="6"/>
    <x v="1"/>
    <n v="641001"/>
    <x v="11"/>
    <x v="12"/>
    <n v="0.41"/>
  </r>
  <r>
    <x v="6"/>
    <x v="1"/>
    <n v="160017"/>
    <x v="12"/>
    <x v="10"/>
    <n v="0.93"/>
  </r>
  <r>
    <x v="6"/>
    <x v="1"/>
    <n v="160017"/>
    <x v="12"/>
    <x v="11"/>
    <n v="0.55000000000000004"/>
  </r>
  <r>
    <x v="6"/>
    <x v="1"/>
    <n v="160017"/>
    <x v="12"/>
    <x v="12"/>
    <n v="0.11"/>
  </r>
  <r>
    <x v="6"/>
    <x v="1"/>
    <n v="122001"/>
    <x v="13"/>
    <x v="10"/>
    <n v="0.73"/>
  </r>
  <r>
    <x v="6"/>
    <x v="1"/>
    <n v="122001"/>
    <x v="13"/>
    <x v="11"/>
    <n v="0.41"/>
  </r>
  <r>
    <x v="6"/>
    <x v="1"/>
    <n v="122001"/>
    <x v="13"/>
    <x v="12"/>
    <n v="0.11"/>
  </r>
  <r>
    <x v="6"/>
    <x v="1"/>
    <n v="492001"/>
    <x v="14"/>
    <x v="10"/>
    <n v="0.44"/>
  </r>
  <r>
    <x v="6"/>
    <x v="1"/>
    <n v="492001"/>
    <x v="14"/>
    <x v="11"/>
    <n v="0.26"/>
  </r>
  <r>
    <x v="6"/>
    <x v="1"/>
    <n v="492001"/>
    <x v="14"/>
    <x v="12"/>
    <n v="0.1"/>
  </r>
  <r>
    <x v="7"/>
    <x v="1"/>
    <n v="400001"/>
    <x v="0"/>
    <x v="10"/>
    <n v="7.36"/>
  </r>
  <r>
    <x v="7"/>
    <x v="1"/>
    <n v="400001"/>
    <x v="0"/>
    <x v="11"/>
    <n v="4.51"/>
  </r>
  <r>
    <x v="7"/>
    <x v="1"/>
    <n v="400001"/>
    <x v="0"/>
    <x v="12"/>
    <n v="1.19"/>
  </r>
  <r>
    <x v="7"/>
    <x v="1"/>
    <n v="110001"/>
    <x v="1"/>
    <x v="10"/>
    <n v="6.69"/>
  </r>
  <r>
    <x v="7"/>
    <x v="1"/>
    <n v="110001"/>
    <x v="1"/>
    <x v="11"/>
    <n v="3.85"/>
  </r>
  <r>
    <x v="7"/>
    <x v="1"/>
    <n v="110001"/>
    <x v="1"/>
    <x v="12"/>
    <n v="0.61"/>
  </r>
  <r>
    <x v="7"/>
    <x v="1"/>
    <n v="700001"/>
    <x v="2"/>
    <x v="10"/>
    <n v="5.71"/>
  </r>
  <r>
    <x v="7"/>
    <x v="1"/>
    <n v="700001"/>
    <x v="2"/>
    <x v="11"/>
    <n v="3.46"/>
  </r>
  <r>
    <x v="7"/>
    <x v="1"/>
    <n v="700001"/>
    <x v="2"/>
    <x v="12"/>
    <n v="1.04"/>
  </r>
  <r>
    <x v="7"/>
    <x v="1"/>
    <n v="560001"/>
    <x v="3"/>
    <x v="10"/>
    <n v="4.29"/>
  </r>
  <r>
    <x v="7"/>
    <x v="1"/>
    <n v="560001"/>
    <x v="3"/>
    <x v="11"/>
    <n v="3.11"/>
  </r>
  <r>
    <x v="7"/>
    <x v="1"/>
    <n v="560001"/>
    <x v="3"/>
    <x v="12"/>
    <n v="0.59"/>
  </r>
  <r>
    <x v="7"/>
    <x v="1"/>
    <n v="600001"/>
    <x v="4"/>
    <x v="10"/>
    <n v="3.62"/>
  </r>
  <r>
    <x v="7"/>
    <x v="1"/>
    <n v="600001"/>
    <x v="4"/>
    <x v="11"/>
    <n v="2.2599999999999998"/>
  </r>
  <r>
    <x v="7"/>
    <x v="1"/>
    <n v="600001"/>
    <x v="4"/>
    <x v="12"/>
    <n v="0.34"/>
  </r>
  <r>
    <x v="7"/>
    <x v="1"/>
    <n v="500001"/>
    <x v="5"/>
    <x v="10"/>
    <n v="2.9"/>
  </r>
  <r>
    <x v="7"/>
    <x v="1"/>
    <n v="500001"/>
    <x v="5"/>
    <x v="11"/>
    <n v="1.97"/>
  </r>
  <r>
    <x v="7"/>
    <x v="1"/>
    <n v="500001"/>
    <x v="5"/>
    <x v="12"/>
    <n v="0.75"/>
  </r>
  <r>
    <x v="7"/>
    <x v="1"/>
    <n v="411001"/>
    <x v="6"/>
    <x v="10"/>
    <n v="6.16"/>
  </r>
  <r>
    <x v="7"/>
    <x v="1"/>
    <n v="411001"/>
    <x v="6"/>
    <x v="11"/>
    <n v="3.62"/>
  </r>
  <r>
    <x v="7"/>
    <x v="1"/>
    <n v="411001"/>
    <x v="6"/>
    <x v="12"/>
    <n v="1.27"/>
  </r>
  <r>
    <x v="7"/>
    <x v="1"/>
    <n v="380001"/>
    <x v="7"/>
    <x v="10"/>
    <n v="2.78"/>
  </r>
  <r>
    <x v="7"/>
    <x v="1"/>
    <n v="380001"/>
    <x v="7"/>
    <x v="11"/>
    <n v="1.56"/>
  </r>
  <r>
    <x v="7"/>
    <x v="1"/>
    <n v="380001"/>
    <x v="7"/>
    <x v="12"/>
    <n v="0.69"/>
  </r>
  <r>
    <x v="7"/>
    <x v="1"/>
    <n v="302001"/>
    <x v="8"/>
    <x v="10"/>
    <n v="2.06"/>
  </r>
  <r>
    <x v="7"/>
    <x v="1"/>
    <n v="302001"/>
    <x v="8"/>
    <x v="11"/>
    <n v="1.35"/>
  </r>
  <r>
    <x v="7"/>
    <x v="1"/>
    <n v="302001"/>
    <x v="8"/>
    <x v="12"/>
    <n v="0.19"/>
  </r>
  <r>
    <x v="7"/>
    <x v="1"/>
    <n v="226001"/>
    <x v="9"/>
    <x v="10"/>
    <n v="1.66"/>
  </r>
  <r>
    <x v="7"/>
    <x v="1"/>
    <n v="226001"/>
    <x v="9"/>
    <x v="11"/>
    <n v="1.0900000000000001"/>
  </r>
  <r>
    <x v="7"/>
    <x v="1"/>
    <n v="226001"/>
    <x v="9"/>
    <x v="12"/>
    <n v="0.46"/>
  </r>
  <r>
    <x v="7"/>
    <x v="1"/>
    <n v="800008"/>
    <x v="10"/>
    <x v="10"/>
    <n v="1.41"/>
  </r>
  <r>
    <x v="7"/>
    <x v="1"/>
    <n v="800008"/>
    <x v="10"/>
    <x v="11"/>
    <n v="1.02"/>
  </r>
  <r>
    <x v="7"/>
    <x v="1"/>
    <n v="800008"/>
    <x v="10"/>
    <x v="12"/>
    <n v="0.19"/>
  </r>
  <r>
    <x v="7"/>
    <x v="1"/>
    <n v="641001"/>
    <x v="11"/>
    <x v="10"/>
    <n v="1.1000000000000001"/>
  </r>
  <r>
    <x v="7"/>
    <x v="1"/>
    <n v="641001"/>
    <x v="11"/>
    <x v="11"/>
    <n v="0.71"/>
  </r>
  <r>
    <x v="7"/>
    <x v="1"/>
    <n v="641001"/>
    <x v="11"/>
    <x v="12"/>
    <n v="0.21"/>
  </r>
  <r>
    <x v="7"/>
    <x v="1"/>
    <n v="160017"/>
    <x v="12"/>
    <x v="10"/>
    <n v="1.1599999999999999"/>
  </r>
  <r>
    <x v="7"/>
    <x v="1"/>
    <n v="160017"/>
    <x v="12"/>
    <x v="11"/>
    <n v="0.77"/>
  </r>
  <r>
    <x v="7"/>
    <x v="1"/>
    <n v="160017"/>
    <x v="12"/>
    <x v="12"/>
    <n v="0.15"/>
  </r>
  <r>
    <x v="7"/>
    <x v="1"/>
    <n v="122001"/>
    <x v="13"/>
    <x v="10"/>
    <n v="0.78"/>
  </r>
  <r>
    <x v="7"/>
    <x v="1"/>
    <n v="122001"/>
    <x v="13"/>
    <x v="11"/>
    <n v="0.43"/>
  </r>
  <r>
    <x v="7"/>
    <x v="1"/>
    <n v="122001"/>
    <x v="13"/>
    <x v="12"/>
    <n v="0.09"/>
  </r>
  <r>
    <x v="7"/>
    <x v="1"/>
    <n v="492001"/>
    <x v="14"/>
    <x v="10"/>
    <n v="0.48"/>
  </r>
  <r>
    <x v="7"/>
    <x v="1"/>
    <n v="492001"/>
    <x v="14"/>
    <x v="11"/>
    <n v="0.28999999999999998"/>
  </r>
  <r>
    <x v="7"/>
    <x v="1"/>
    <n v="492001"/>
    <x v="14"/>
    <x v="12"/>
    <n v="0.0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1000000}" name="PivotTable10" cacheId="11963" applyNumberFormats="0" applyBorderFormats="0" applyFontFormats="0" applyPatternFormats="0" applyAlignmentFormats="0" applyWidthHeightFormats="1" dataCaption="Values" updatedVersion="8" minRefreshableVersion="3" useAutoFormatting="1" itemPrintTitles="1" createdVersion="4" indent="0" outline="1" outlineData="1" multipleFieldFilters="0">
  <location ref="K71:K72" firstHeaderRow="1" firstDataRow="1" firstDataCol="0" rowPageCount="1" colPageCount="1"/>
  <pivotFields count="9">
    <pivotField numFmtId="15" showAll="0">
      <items count="9">
        <item h="1" x="0"/>
        <item h="1" x="1"/>
        <item h="1" x="2"/>
        <item h="1" x="3"/>
        <item h="1" x="4"/>
        <item h="1" x="5"/>
        <item h="1" x="6"/>
        <item x="7"/>
        <item t="default"/>
      </items>
    </pivotField>
    <pivotField showAll="0">
      <items count="3">
        <item x="1"/>
        <item x="0"/>
        <item t="default"/>
      </items>
    </pivotField>
    <pivotField showAll="0"/>
    <pivotField axis="axisPage" multipleItemSelectionAllowed="1" showAll="0">
      <items count="16">
        <item h="1" x="7"/>
        <item h="1" x="3"/>
        <item h="1" x="12"/>
        <item x="4"/>
        <item h="1" x="11"/>
        <item h="1" x="1"/>
        <item h="1" x="13"/>
        <item h="1" x="5"/>
        <item h="1" x="8"/>
        <item h="1" x="2"/>
        <item h="1" x="9"/>
        <item h="1" x="0"/>
        <item h="1" x="10"/>
        <item h="1" x="6"/>
        <item h="1" x="14"/>
        <item t="default"/>
      </items>
    </pivotField>
    <pivotField showAll="0"/>
    <pivotField dataField="1" showAll="0"/>
    <pivotField showAll="0"/>
    <pivotField showAll="0"/>
    <pivotField showAll="0"/>
  </pivotFields>
  <rowItems count="1">
    <i/>
  </rowItems>
  <colItems count="1">
    <i/>
  </colItems>
  <pageFields count="1">
    <pageField fld="3" hier="-1"/>
  </pageFields>
  <dataFields count="1">
    <dataField name="Average of atliqo_revenue_crores" fld="5" subtotal="average" baseField="0" baseItem="550120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600-00000A000000}" name="PivotTable7" cacheId="11963" applyNumberFormats="0" applyBorderFormats="0" applyFontFormats="0" applyPatternFormats="0" applyAlignmentFormats="0" applyWidthHeightFormats="1" dataCaption="Values" updatedVersion="8" minRefreshableVersion="3" useAutoFormatting="1" itemPrintTitles="1" createdVersion="4" indent="0" outline="1" outlineData="1" multipleFieldFilters="0">
  <location ref="K51:L53" firstHeaderRow="1" firstDataRow="1" firstDataCol="1" rowPageCount="2" colPageCount="1"/>
  <pivotFields count="9">
    <pivotField axis="axisPage" numFmtId="15" showAll="0">
      <items count="9">
        <item x="0"/>
        <item x="1"/>
        <item x="2"/>
        <item x="3"/>
        <item x="4"/>
        <item x="5"/>
        <item x="6"/>
        <item x="7"/>
        <item t="default"/>
      </items>
    </pivotField>
    <pivotField axis="axisPage" showAll="0">
      <items count="3">
        <item x="1"/>
        <item x="0"/>
        <item t="default"/>
      </items>
    </pivotField>
    <pivotField showAll="0"/>
    <pivotField axis="axisRow" showAll="0">
      <items count="16">
        <item h="1" x="7"/>
        <item h="1" x="3"/>
        <item h="1" x="12"/>
        <item x="4"/>
        <item h="1" x="11"/>
        <item h="1" x="1"/>
        <item h="1" x="13"/>
        <item h="1" x="5"/>
        <item h="1" x="8"/>
        <item h="1" x="2"/>
        <item h="1" x="9"/>
        <item h="1" x="0"/>
        <item h="1" x="10"/>
        <item h="1" x="6"/>
        <item h="1" x="14"/>
        <item t="default"/>
      </items>
    </pivotField>
    <pivotField showAll="0"/>
    <pivotField dataField="1" showAll="0"/>
    <pivotField showAll="0"/>
    <pivotField showAll="0"/>
    <pivotField showAll="0"/>
  </pivotFields>
  <rowFields count="1">
    <field x="3"/>
  </rowFields>
  <rowItems count="2">
    <i>
      <x v="3"/>
    </i>
    <i t="grand">
      <x/>
    </i>
  </rowItems>
  <colItems count="1">
    <i/>
  </colItems>
  <pageFields count="2">
    <pageField fld="0" item="7" hier="-1"/>
    <pageField fld="1" hier="-1"/>
  </pageFields>
  <dataFields count="1">
    <dataField name="Sum of atliqo_revenue_crores"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600-000009000000}" name="PivotTable6" cacheId="11963" applyNumberFormats="0" applyBorderFormats="0" applyFontFormats="0" applyPatternFormats="0" applyAlignmentFormats="0" applyWidthHeightFormats="1" dataCaption="Values" updatedVersion="8" minRefreshableVersion="3" useAutoFormatting="1" itemPrintTitles="1" createdVersion="4" indent="0" outline="1" outlineData="1" multipleFieldFilters="0">
  <location ref="K29:L31" firstHeaderRow="1" firstDataRow="1" firstDataCol="1" rowPageCount="2" colPageCount="1"/>
  <pivotFields count="9">
    <pivotField axis="axisPage" numFmtId="15" showAll="0">
      <items count="9">
        <item x="0"/>
        <item x="1"/>
        <item x="2"/>
        <item x="3"/>
        <item x="4"/>
        <item x="5"/>
        <item x="6"/>
        <item x="7"/>
        <item t="default"/>
      </items>
    </pivotField>
    <pivotField axis="axisPage" showAll="0">
      <items count="3">
        <item x="1"/>
        <item x="0"/>
        <item t="default"/>
      </items>
    </pivotField>
    <pivotField showAll="0"/>
    <pivotField axis="axisRow" showAll="0">
      <items count="16">
        <item h="1" x="7"/>
        <item h="1" x="3"/>
        <item h="1" x="12"/>
        <item x="4"/>
        <item h="1" x="11"/>
        <item h="1" x="1"/>
        <item h="1" x="13"/>
        <item h="1" x="5"/>
        <item h="1" x="8"/>
        <item h="1" x="2"/>
        <item h="1" x="9"/>
        <item h="1" x="0"/>
        <item h="1" x="10"/>
        <item h="1" x="6"/>
        <item h="1" x="14"/>
        <item t="default"/>
      </items>
    </pivotField>
    <pivotField showAll="0"/>
    <pivotField showAll="0"/>
    <pivotField dataField="1" showAll="0"/>
    <pivotField showAll="0"/>
    <pivotField showAll="0"/>
  </pivotFields>
  <rowFields count="1">
    <field x="3"/>
  </rowFields>
  <rowItems count="2">
    <i>
      <x v="3"/>
    </i>
    <i t="grand">
      <x/>
    </i>
  </rowItems>
  <colItems count="1">
    <i/>
  </colItems>
  <pageFields count="2">
    <pageField fld="0" item="7" hier="-1"/>
    <pageField fld="1" hier="-1"/>
  </pageFields>
  <dataFields count="1">
    <dataField name="Average of arpu" fld="6"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600-00000B000000}" name="PivotTable8" cacheId="11963" applyNumberFormats="0" applyBorderFormats="0" applyFontFormats="0" applyPatternFormats="0" applyAlignmentFormats="0" applyWidthHeightFormats="1" dataCaption="Values" updatedVersion="8" minRefreshableVersion="3" useAutoFormatting="1" itemPrintTitles="1" createdVersion="4" indent="0" outline="1" outlineData="1" multipleFieldFilters="0" chartFormat="4">
  <location ref="H126:J136" firstHeaderRow="1" firstDataRow="2" firstDataCol="1" rowPageCount="1" colPageCount="1"/>
  <pivotFields count="9">
    <pivotField axis="axisRow" numFmtId="15" showAll="0">
      <items count="9">
        <item x="0"/>
        <item x="1"/>
        <item x="2"/>
        <item x="3"/>
        <item x="4"/>
        <item x="5"/>
        <item x="6"/>
        <item x="7"/>
        <item t="default"/>
      </items>
    </pivotField>
    <pivotField axis="axisPage" showAll="0">
      <items count="3">
        <item x="1"/>
        <item x="0"/>
        <item t="default"/>
      </items>
    </pivotField>
    <pivotField showAll="0"/>
    <pivotField axis="axisCol" showAll="0">
      <items count="16">
        <item h="1" x="7"/>
        <item h="1" x="3"/>
        <item h="1" x="12"/>
        <item x="4"/>
        <item h="1" x="11"/>
        <item h="1" x="1"/>
        <item h="1" x="13"/>
        <item h="1" x="5"/>
        <item h="1" x="8"/>
        <item h="1" x="2"/>
        <item h="1" x="9"/>
        <item h="1" x="0"/>
        <item h="1" x="10"/>
        <item h="1" x="6"/>
        <item h="1" x="14"/>
        <item t="default"/>
      </items>
    </pivotField>
    <pivotField showAll="0"/>
    <pivotField dataField="1" showAll="0"/>
    <pivotField showAll="0"/>
    <pivotField showAll="0"/>
    <pivotField showAll="0"/>
  </pivotFields>
  <rowFields count="1">
    <field x="0"/>
  </rowFields>
  <rowItems count="9">
    <i>
      <x/>
    </i>
    <i>
      <x v="1"/>
    </i>
    <i>
      <x v="2"/>
    </i>
    <i>
      <x v="3"/>
    </i>
    <i>
      <x v="4"/>
    </i>
    <i>
      <x v="5"/>
    </i>
    <i>
      <x v="6"/>
    </i>
    <i>
      <x v="7"/>
    </i>
    <i t="grand">
      <x/>
    </i>
  </rowItems>
  <colFields count="1">
    <field x="3"/>
  </colFields>
  <colItems count="2">
    <i>
      <x v="3"/>
    </i>
    <i t="grand">
      <x/>
    </i>
  </colItems>
  <pageFields count="1">
    <pageField fld="1" hier="-1"/>
  </pageFields>
  <dataFields count="1">
    <dataField name="Sum of atliqo_revenue_crores" fld="5" baseField="0" baseItem="0"/>
  </dataFields>
  <chartFormats count="38">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2"/>
          </reference>
        </references>
      </pivotArea>
    </chartFormat>
    <chartFormat chart="0" format="3" series="1">
      <pivotArea type="data" outline="0" fieldPosition="0">
        <references count="2">
          <reference field="4294967294" count="1" selected="0">
            <x v="0"/>
          </reference>
          <reference field="0" count="1" selected="0">
            <x v="3"/>
          </reference>
        </references>
      </pivotArea>
    </chartFormat>
    <chartFormat chart="0" format="4" series="1">
      <pivotArea type="data" outline="0" fieldPosition="0">
        <references count="2">
          <reference field="4294967294" count="1" selected="0">
            <x v="0"/>
          </reference>
          <reference field="0" count="1" selected="0">
            <x v="4"/>
          </reference>
        </references>
      </pivotArea>
    </chartFormat>
    <chartFormat chart="0" format="5" series="1">
      <pivotArea type="data" outline="0" fieldPosition="0">
        <references count="2">
          <reference field="4294967294" count="1" selected="0">
            <x v="0"/>
          </reference>
          <reference field="0" count="1" selected="0">
            <x v="5"/>
          </reference>
        </references>
      </pivotArea>
    </chartFormat>
    <chartFormat chart="0" format="6" series="1">
      <pivotArea type="data" outline="0" fieldPosition="0">
        <references count="2">
          <reference field="4294967294" count="1" selected="0">
            <x v="0"/>
          </reference>
          <reference field="0" count="1" selected="0">
            <x v="6"/>
          </reference>
        </references>
      </pivotArea>
    </chartFormat>
    <chartFormat chart="0" format="7" series="1">
      <pivotArea type="data" outline="0" fieldPosition="0">
        <references count="2">
          <reference field="4294967294" count="1" selected="0">
            <x v="0"/>
          </reference>
          <reference field="0" count="1" selected="0">
            <x v="7"/>
          </reference>
        </references>
      </pivotArea>
    </chartFormat>
    <chartFormat chart="0" format="8" series="1">
      <pivotArea type="data" outline="0" fieldPosition="0">
        <references count="1">
          <reference field="4294967294" count="1" selected="0">
            <x v="0"/>
          </reference>
        </references>
      </pivotArea>
    </chartFormat>
    <chartFormat chart="0" format="9" series="1">
      <pivotArea type="data" outline="0" fieldPosition="0">
        <references count="2">
          <reference field="4294967294" count="1" selected="0">
            <x v="0"/>
          </reference>
          <reference field="3" count="1" selected="0">
            <x v="1"/>
          </reference>
        </references>
      </pivotArea>
    </chartFormat>
    <chartFormat chart="0" format="10" series="1">
      <pivotArea type="data" outline="0" fieldPosition="0">
        <references count="2">
          <reference field="4294967294" count="1" selected="0">
            <x v="0"/>
          </reference>
          <reference field="3" count="1" selected="0">
            <x v="2"/>
          </reference>
        </references>
      </pivotArea>
    </chartFormat>
    <chartFormat chart="0" format="11" series="1">
      <pivotArea type="data" outline="0" fieldPosition="0">
        <references count="2">
          <reference field="4294967294" count="1" selected="0">
            <x v="0"/>
          </reference>
          <reference field="3" count="1" selected="0">
            <x v="3"/>
          </reference>
        </references>
      </pivotArea>
    </chartFormat>
    <chartFormat chart="0" format="12" series="1">
      <pivotArea type="data" outline="0" fieldPosition="0">
        <references count="2">
          <reference field="4294967294" count="1" selected="0">
            <x v="0"/>
          </reference>
          <reference field="3" count="1" selected="0">
            <x v="4"/>
          </reference>
        </references>
      </pivotArea>
    </chartFormat>
    <chartFormat chart="0" format="13" series="1">
      <pivotArea type="data" outline="0" fieldPosition="0">
        <references count="2">
          <reference field="4294967294" count="1" selected="0">
            <x v="0"/>
          </reference>
          <reference field="3" count="1" selected="0">
            <x v="5"/>
          </reference>
        </references>
      </pivotArea>
    </chartFormat>
    <chartFormat chart="0" format="14" series="1">
      <pivotArea type="data" outline="0" fieldPosition="0">
        <references count="2">
          <reference field="4294967294" count="1" selected="0">
            <x v="0"/>
          </reference>
          <reference field="3" count="1" selected="0">
            <x v="6"/>
          </reference>
        </references>
      </pivotArea>
    </chartFormat>
    <chartFormat chart="0" format="15" series="1">
      <pivotArea type="data" outline="0" fieldPosition="0">
        <references count="2">
          <reference field="4294967294" count="1" selected="0">
            <x v="0"/>
          </reference>
          <reference field="3" count="1" selected="0">
            <x v="7"/>
          </reference>
        </references>
      </pivotArea>
    </chartFormat>
    <chartFormat chart="0" format="16" series="1">
      <pivotArea type="data" outline="0" fieldPosition="0">
        <references count="2">
          <reference field="4294967294" count="1" selected="0">
            <x v="0"/>
          </reference>
          <reference field="3" count="1" selected="0">
            <x v="8"/>
          </reference>
        </references>
      </pivotArea>
    </chartFormat>
    <chartFormat chart="0" format="17" series="1">
      <pivotArea type="data" outline="0" fieldPosition="0">
        <references count="2">
          <reference field="4294967294" count="1" selected="0">
            <x v="0"/>
          </reference>
          <reference field="3" count="1" selected="0">
            <x v="9"/>
          </reference>
        </references>
      </pivotArea>
    </chartFormat>
    <chartFormat chart="0" format="18" series="1">
      <pivotArea type="data" outline="0" fieldPosition="0">
        <references count="2">
          <reference field="4294967294" count="1" selected="0">
            <x v="0"/>
          </reference>
          <reference field="3" count="1" selected="0">
            <x v="10"/>
          </reference>
        </references>
      </pivotArea>
    </chartFormat>
    <chartFormat chart="0" format="19" series="1">
      <pivotArea type="data" outline="0" fieldPosition="0">
        <references count="2">
          <reference field="4294967294" count="1" selected="0">
            <x v="0"/>
          </reference>
          <reference field="3" count="1" selected="0">
            <x v="11"/>
          </reference>
        </references>
      </pivotArea>
    </chartFormat>
    <chartFormat chart="0" format="20" series="1">
      <pivotArea type="data" outline="0" fieldPosition="0">
        <references count="2">
          <reference field="4294967294" count="1" selected="0">
            <x v="0"/>
          </reference>
          <reference field="3" count="1" selected="0">
            <x v="12"/>
          </reference>
        </references>
      </pivotArea>
    </chartFormat>
    <chartFormat chart="0" format="21" series="1">
      <pivotArea type="data" outline="0" fieldPosition="0">
        <references count="2">
          <reference field="4294967294" count="1" selected="0">
            <x v="0"/>
          </reference>
          <reference field="3" count="1" selected="0">
            <x v="13"/>
          </reference>
        </references>
      </pivotArea>
    </chartFormat>
    <chartFormat chart="0" format="22" series="1">
      <pivotArea type="data" outline="0" fieldPosition="0">
        <references count="2">
          <reference field="4294967294" count="1" selected="0">
            <x v="0"/>
          </reference>
          <reference field="3" count="1" selected="0">
            <x v="14"/>
          </reference>
        </references>
      </pivotArea>
    </chartFormat>
    <chartFormat chart="3" format="38" series="1">
      <pivotArea type="data" outline="0" fieldPosition="0">
        <references count="2">
          <reference field="4294967294" count="1" selected="0">
            <x v="0"/>
          </reference>
          <reference field="3" count="1" selected="0">
            <x v="0"/>
          </reference>
        </references>
      </pivotArea>
    </chartFormat>
    <chartFormat chart="3" format="39" series="1">
      <pivotArea type="data" outline="0" fieldPosition="0">
        <references count="2">
          <reference field="4294967294" count="1" selected="0">
            <x v="0"/>
          </reference>
          <reference field="3" count="1" selected="0">
            <x v="1"/>
          </reference>
        </references>
      </pivotArea>
    </chartFormat>
    <chartFormat chart="3" format="40" series="1">
      <pivotArea type="data" outline="0" fieldPosition="0">
        <references count="2">
          <reference field="4294967294" count="1" selected="0">
            <x v="0"/>
          </reference>
          <reference field="3" count="1" selected="0">
            <x v="2"/>
          </reference>
        </references>
      </pivotArea>
    </chartFormat>
    <chartFormat chart="3" format="41" series="1">
      <pivotArea type="data" outline="0" fieldPosition="0">
        <references count="2">
          <reference field="4294967294" count="1" selected="0">
            <x v="0"/>
          </reference>
          <reference field="3" count="1" selected="0">
            <x v="3"/>
          </reference>
        </references>
      </pivotArea>
    </chartFormat>
    <chartFormat chart="3" format="42" series="1">
      <pivotArea type="data" outline="0" fieldPosition="0">
        <references count="2">
          <reference field="4294967294" count="1" selected="0">
            <x v="0"/>
          </reference>
          <reference field="3" count="1" selected="0">
            <x v="4"/>
          </reference>
        </references>
      </pivotArea>
    </chartFormat>
    <chartFormat chart="3" format="43" series="1">
      <pivotArea type="data" outline="0" fieldPosition="0">
        <references count="2">
          <reference field="4294967294" count="1" selected="0">
            <x v="0"/>
          </reference>
          <reference field="3" count="1" selected="0">
            <x v="5"/>
          </reference>
        </references>
      </pivotArea>
    </chartFormat>
    <chartFormat chart="3" format="44" series="1">
      <pivotArea type="data" outline="0" fieldPosition="0">
        <references count="2">
          <reference field="4294967294" count="1" selected="0">
            <x v="0"/>
          </reference>
          <reference field="3" count="1" selected="0">
            <x v="6"/>
          </reference>
        </references>
      </pivotArea>
    </chartFormat>
    <chartFormat chart="3" format="45" series="1">
      <pivotArea type="data" outline="0" fieldPosition="0">
        <references count="2">
          <reference field="4294967294" count="1" selected="0">
            <x v="0"/>
          </reference>
          <reference field="3" count="1" selected="0">
            <x v="7"/>
          </reference>
        </references>
      </pivotArea>
    </chartFormat>
    <chartFormat chart="3" format="46" series="1">
      <pivotArea type="data" outline="0" fieldPosition="0">
        <references count="2">
          <reference field="4294967294" count="1" selected="0">
            <x v="0"/>
          </reference>
          <reference field="3" count="1" selected="0">
            <x v="8"/>
          </reference>
        </references>
      </pivotArea>
    </chartFormat>
    <chartFormat chart="3" format="47" series="1">
      <pivotArea type="data" outline="0" fieldPosition="0">
        <references count="2">
          <reference field="4294967294" count="1" selected="0">
            <x v="0"/>
          </reference>
          <reference field="3" count="1" selected="0">
            <x v="9"/>
          </reference>
        </references>
      </pivotArea>
    </chartFormat>
    <chartFormat chart="3" format="48" series="1">
      <pivotArea type="data" outline="0" fieldPosition="0">
        <references count="2">
          <reference field="4294967294" count="1" selected="0">
            <x v="0"/>
          </reference>
          <reference field="3" count="1" selected="0">
            <x v="10"/>
          </reference>
        </references>
      </pivotArea>
    </chartFormat>
    <chartFormat chart="3" format="49" series="1">
      <pivotArea type="data" outline="0" fieldPosition="0">
        <references count="2">
          <reference field="4294967294" count="1" selected="0">
            <x v="0"/>
          </reference>
          <reference field="3" count="1" selected="0">
            <x v="11"/>
          </reference>
        </references>
      </pivotArea>
    </chartFormat>
    <chartFormat chart="3" format="50" series="1">
      <pivotArea type="data" outline="0" fieldPosition="0">
        <references count="2">
          <reference field="4294967294" count="1" selected="0">
            <x v="0"/>
          </reference>
          <reference field="3" count="1" selected="0">
            <x v="12"/>
          </reference>
        </references>
      </pivotArea>
    </chartFormat>
    <chartFormat chart="3" format="51" series="1">
      <pivotArea type="data" outline="0" fieldPosition="0">
        <references count="2">
          <reference field="4294967294" count="1" selected="0">
            <x v="0"/>
          </reference>
          <reference field="3" count="1" selected="0">
            <x v="13"/>
          </reference>
        </references>
      </pivotArea>
    </chartFormat>
    <chartFormat chart="3" format="52" series="1">
      <pivotArea type="data" outline="0" fieldPosition="0">
        <references count="2">
          <reference field="4294967294" count="1" selected="0">
            <x v="0"/>
          </reference>
          <reference field="3" count="1" selected="0">
            <x v="1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600-000002000000}" name="PivotTable13" cacheId="11963" applyNumberFormats="0" applyBorderFormats="0" applyFontFormats="0" applyPatternFormats="0" applyAlignmentFormats="0" applyWidthHeightFormats="1" dataCaption="Values" updatedVersion="8" minRefreshableVersion="3" useAutoFormatting="1" itemPrintTitles="1" createdVersion="4" indent="0" outline="1" outlineData="1" multipleFieldFilters="0">
  <location ref="A48:B50" firstHeaderRow="1" firstDataRow="1" firstDataCol="1"/>
  <pivotFields count="9">
    <pivotField numFmtId="15" showAll="0"/>
    <pivotField showAll="0"/>
    <pivotField showAll="0"/>
    <pivotField axis="axisRow" showAll="0">
      <items count="16">
        <item h="1" x="7"/>
        <item h="1" x="3"/>
        <item h="1" x="12"/>
        <item x="4"/>
        <item h="1" x="11"/>
        <item h="1" x="1"/>
        <item h="1" x="13"/>
        <item h="1" x="5"/>
        <item h="1" x="8"/>
        <item h="1" x="2"/>
        <item h="1" x="9"/>
        <item h="1" x="0"/>
        <item h="1" x="10"/>
        <item h="1" x="6"/>
        <item h="1" x="14"/>
        <item t="default"/>
      </items>
    </pivotField>
    <pivotField showAll="0"/>
    <pivotField showAll="0"/>
    <pivotField showAll="0"/>
    <pivotField showAll="0"/>
    <pivotField dataField="1" showAll="0"/>
  </pivotFields>
  <rowFields count="1">
    <field x="3"/>
  </rowFields>
  <rowItems count="2">
    <i>
      <x v="3"/>
    </i>
    <i t="grand">
      <x/>
    </i>
  </rowItems>
  <colItems count="1">
    <i/>
  </colItems>
  <dataFields count="1">
    <dataField name="Sum of unsubscribed_users_lakhs"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600-000005000000}" name="PivotTable2" cacheId="11963" applyNumberFormats="0" applyBorderFormats="0" applyFontFormats="0" applyPatternFormats="0" applyAlignmentFormats="0" applyWidthHeightFormats="1" dataCaption="Values" updatedVersion="8" minRefreshableVersion="3" useAutoFormatting="1" itemPrintTitles="1" createdVersion="4" indent="0" outline="1" outlineData="1" multipleFieldFilters="0" chartFormat="3">
  <location ref="A4:B6" firstHeaderRow="1" firstDataRow="1" firstDataCol="1" rowPageCount="2" colPageCount="1"/>
  <pivotFields count="9">
    <pivotField axis="axisRow" numFmtId="15" showAll="0">
      <items count="9">
        <item h="1" x="0"/>
        <item h="1" x="1"/>
        <item h="1" x="2"/>
        <item h="1" x="3"/>
        <item h="1" x="4"/>
        <item h="1" x="5"/>
        <item h="1" x="6"/>
        <item x="7"/>
        <item t="default"/>
      </items>
    </pivotField>
    <pivotField axis="axisPage" showAll="0">
      <items count="3">
        <item x="1"/>
        <item x="0"/>
        <item t="default"/>
      </items>
    </pivotField>
    <pivotField showAll="0"/>
    <pivotField axis="axisPage" multipleItemSelectionAllowed="1" showAll="0">
      <items count="16">
        <item h="1" x="7"/>
        <item h="1" x="3"/>
        <item h="1" x="12"/>
        <item x="4"/>
        <item h="1" x="11"/>
        <item h="1" x="1"/>
        <item h="1" x="13"/>
        <item h="1" x="5"/>
        <item h="1" x="8"/>
        <item h="1" x="2"/>
        <item h="1" x="9"/>
        <item h="1" x="0"/>
        <item h="1" x="10"/>
        <item h="1" x="6"/>
        <item h="1" x="14"/>
        <item t="default"/>
      </items>
    </pivotField>
    <pivotField showAll="0"/>
    <pivotField showAll="0"/>
    <pivotField showAll="0"/>
    <pivotField dataField="1" showAll="0"/>
    <pivotField showAll="0"/>
  </pivotFields>
  <rowFields count="1">
    <field x="0"/>
  </rowFields>
  <rowItems count="2">
    <i>
      <x v="7"/>
    </i>
    <i t="grand">
      <x/>
    </i>
  </rowItems>
  <colItems count="1">
    <i/>
  </colItems>
  <pageFields count="2">
    <pageField fld="1" hier="-1"/>
    <pageField fld="3" hier="-1"/>
  </pageFields>
  <dataFields count="1">
    <dataField name="Sum of active_users_lakhs" fld="7"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600-000006000000}" name="PivotTable3" cacheId="11963" applyNumberFormats="0" applyBorderFormats="0" applyFontFormats="0" applyPatternFormats="0" applyAlignmentFormats="0" applyWidthHeightFormats="1" dataCaption="Values" updatedVersion="8" minRefreshableVersion="3" useAutoFormatting="1" itemPrintTitles="1" createdVersion="4" indent="0" outline="1" outlineData="1" multipleFieldFilters="0" chartFormat="3">
  <location ref="A88:C91" firstHeaderRow="1" firstDataRow="2" firstDataCol="1" rowPageCount="1" colPageCount="1"/>
  <pivotFields count="9">
    <pivotField axis="axisCol" numFmtId="15" showAll="0">
      <items count="9">
        <item h="1" x="0"/>
        <item h="1" x="1"/>
        <item h="1" x="2"/>
        <item h="1" x="3"/>
        <item h="1" x="4"/>
        <item h="1" x="5"/>
        <item h="1" x="6"/>
        <item x="7"/>
        <item t="default"/>
      </items>
    </pivotField>
    <pivotField axis="axisPage" showAll="0">
      <items count="3">
        <item x="1"/>
        <item x="0"/>
        <item t="default"/>
      </items>
    </pivotField>
    <pivotField showAll="0"/>
    <pivotField axis="axisRow" showAll="0">
      <items count="16">
        <item h="1" x="7"/>
        <item h="1" x="3"/>
        <item h="1" x="12"/>
        <item x="4"/>
        <item h="1" x="11"/>
        <item h="1" x="1"/>
        <item h="1" x="13"/>
        <item h="1" x="5"/>
        <item h="1" x="8"/>
        <item h="1" x="2"/>
        <item h="1" x="9"/>
        <item h="1" x="0"/>
        <item h="1" x="10"/>
        <item h="1" x="6"/>
        <item h="1" x="14"/>
        <item t="default"/>
      </items>
    </pivotField>
    <pivotField showAll="0"/>
    <pivotField showAll="0"/>
    <pivotField showAll="0"/>
    <pivotField dataField="1" showAll="0"/>
    <pivotField showAll="0"/>
  </pivotFields>
  <rowFields count="1">
    <field x="3"/>
  </rowFields>
  <rowItems count="2">
    <i>
      <x v="3"/>
    </i>
    <i t="grand">
      <x/>
    </i>
  </rowItems>
  <colFields count="1">
    <field x="0"/>
  </colFields>
  <colItems count="2">
    <i>
      <x v="7"/>
    </i>
    <i t="grand">
      <x/>
    </i>
  </colItems>
  <pageFields count="1">
    <pageField fld="1" hier="-1"/>
  </pageFields>
  <dataFields count="1">
    <dataField name="Sum of active_users_lakhs" fld="7" baseField="0" baseItem="0"/>
  </dataFields>
  <chartFormats count="12">
    <chartFormat chart="0" format="0" series="1">
      <pivotArea type="data" outline="0" fieldPosition="0">
        <references count="1">
          <reference field="4294967294" count="1" selected="0">
            <x v="0"/>
          </reference>
        </references>
      </pivotArea>
    </chartFormat>
    <chartFormat chart="2" format="9" series="1">
      <pivotArea type="data" outline="0" fieldPosition="0">
        <references count="2">
          <reference field="4294967294" count="1" selected="0">
            <x v="0"/>
          </reference>
          <reference field="0" count="1" selected="0">
            <x v="0"/>
          </reference>
        </references>
      </pivotArea>
    </chartFormat>
    <chartFormat chart="2" format="10" series="1">
      <pivotArea type="data" outline="0" fieldPosition="0">
        <references count="2">
          <reference field="4294967294" count="1" selected="0">
            <x v="0"/>
          </reference>
          <reference field="0" count="1" selected="0">
            <x v="1"/>
          </reference>
        </references>
      </pivotArea>
    </chartFormat>
    <chartFormat chart="2" format="11" series="1">
      <pivotArea type="data" outline="0" fieldPosition="0">
        <references count="2">
          <reference field="4294967294" count="1" selected="0">
            <x v="0"/>
          </reference>
          <reference field="0" count="1" selected="0">
            <x v="2"/>
          </reference>
        </references>
      </pivotArea>
    </chartFormat>
    <chartFormat chart="2" format="12" series="1">
      <pivotArea type="data" outline="0" fieldPosition="0">
        <references count="2">
          <reference field="4294967294" count="1" selected="0">
            <x v="0"/>
          </reference>
          <reference field="0" count="1" selected="0">
            <x v="3"/>
          </reference>
        </references>
      </pivotArea>
    </chartFormat>
    <chartFormat chart="2" format="13" series="1">
      <pivotArea type="data" outline="0" fieldPosition="0">
        <references count="2">
          <reference field="4294967294" count="1" selected="0">
            <x v="0"/>
          </reference>
          <reference field="0" count="1" selected="0">
            <x v="4"/>
          </reference>
        </references>
      </pivotArea>
    </chartFormat>
    <chartFormat chart="2" format="14" series="1">
      <pivotArea type="data" outline="0" fieldPosition="0">
        <references count="2">
          <reference field="4294967294" count="1" selected="0">
            <x v="0"/>
          </reference>
          <reference field="0" count="1" selected="0">
            <x v="5"/>
          </reference>
        </references>
      </pivotArea>
    </chartFormat>
    <chartFormat chart="2" format="15" series="1">
      <pivotArea type="data" outline="0" fieldPosition="0">
        <references count="2">
          <reference field="4294967294" count="1" selected="0">
            <x v="0"/>
          </reference>
          <reference field="0" count="1" selected="0">
            <x v="6"/>
          </reference>
        </references>
      </pivotArea>
    </chartFormat>
    <chartFormat chart="2" format="16" series="1">
      <pivotArea type="data" outline="0" fieldPosition="0">
        <references count="2">
          <reference field="4294967294" count="1" selected="0">
            <x v="0"/>
          </reference>
          <reference field="0" count="1" selected="0">
            <x v="7"/>
          </reference>
        </references>
      </pivotArea>
    </chartFormat>
    <chartFormat chart="2" format="17"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0" count="1" selected="0">
            <x v="4"/>
          </reference>
        </references>
      </pivotArea>
    </chartFormat>
    <chartFormat chart="0" format="2" series="1">
      <pivotArea type="data" outline="0" fieldPosition="0">
        <references count="2">
          <reference field="4294967294" count="1" selected="0">
            <x v="0"/>
          </reference>
          <reference field="0"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600-000004000000}" name="PivotTable15" cacheId="11963" applyNumberFormats="0" applyBorderFormats="0" applyFontFormats="0" applyPatternFormats="0" applyAlignmentFormats="0" applyWidthHeightFormats="1" dataCaption="Values" updatedVersion="8" minRefreshableVersion="3" useAutoFormatting="1" itemPrintTitles="1" createdVersion="4" indent="0" outline="1" outlineData="1" multipleFieldFilters="0">
  <location ref="A61:B63" firstHeaderRow="1" firstDataRow="1" firstDataCol="1"/>
  <pivotFields count="9">
    <pivotField numFmtId="15" showAll="0"/>
    <pivotField showAll="0"/>
    <pivotField showAll="0"/>
    <pivotField axis="axisRow" showAll="0">
      <items count="16">
        <item h="1" x="7"/>
        <item h="1" x="3"/>
        <item h="1" x="12"/>
        <item x="4"/>
        <item h="1" x="11"/>
        <item h="1" x="1"/>
        <item h="1" x="13"/>
        <item h="1" x="5"/>
        <item h="1" x="8"/>
        <item h="1" x="2"/>
        <item h="1" x="9"/>
        <item h="1" x="0"/>
        <item h="1" x="10"/>
        <item h="1" x="6"/>
        <item h="1" x="14"/>
        <item t="default"/>
      </items>
    </pivotField>
    <pivotField showAll="0"/>
    <pivotField showAll="0"/>
    <pivotField dataField="1" showAll="0"/>
    <pivotField showAll="0"/>
    <pivotField showAll="0"/>
  </pivotFields>
  <rowFields count="1">
    <field x="3"/>
  </rowFields>
  <rowItems count="2">
    <i>
      <x v="3"/>
    </i>
    <i t="grand">
      <x/>
    </i>
  </rowItems>
  <colItems count="1">
    <i/>
  </colItems>
  <dataFields count="1">
    <dataField name="Average of arpu" fld="6" subtotal="average" baseField="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600-00000C000000}" name="PivotTable9" cacheId="11963" applyNumberFormats="0" applyBorderFormats="0" applyFontFormats="0" applyPatternFormats="0" applyAlignmentFormats="0" applyWidthHeightFormats="1" dataCaption="Values" updatedVersion="8" minRefreshableVersion="3" useAutoFormatting="1" itemPrintTitles="1" createdVersion="4" indent="0" outline="1" outlineData="1" multipleFieldFilters="0" chartFormat="3">
  <location ref="I164:K174" firstHeaderRow="1" firstDataRow="2" firstDataCol="1" rowPageCount="1" colPageCount="1"/>
  <pivotFields count="9">
    <pivotField axis="axisRow" numFmtId="15" showAll="0">
      <items count="9">
        <item x="0"/>
        <item x="1"/>
        <item x="2"/>
        <item x="3"/>
        <item x="4"/>
        <item x="5"/>
        <item x="6"/>
        <item x="7"/>
        <item t="default"/>
      </items>
    </pivotField>
    <pivotField axis="axisPage" showAll="0">
      <items count="3">
        <item x="1"/>
        <item x="0"/>
        <item t="default"/>
      </items>
    </pivotField>
    <pivotField showAll="0"/>
    <pivotField axis="axisCol" showAll="0">
      <items count="16">
        <item h="1" x="7"/>
        <item h="1" x="3"/>
        <item h="1" x="12"/>
        <item x="4"/>
        <item h="1" x="11"/>
        <item h="1" x="1"/>
        <item h="1" x="13"/>
        <item h="1" x="5"/>
        <item h="1" x="8"/>
        <item h="1" x="2"/>
        <item h="1" x="9"/>
        <item h="1" x="0"/>
        <item h="1" x="10"/>
        <item h="1" x="6"/>
        <item h="1" x="14"/>
        <item t="default"/>
      </items>
    </pivotField>
    <pivotField showAll="0"/>
    <pivotField showAll="0"/>
    <pivotField dataField="1" showAll="0"/>
    <pivotField showAll="0"/>
    <pivotField showAll="0"/>
  </pivotFields>
  <rowFields count="1">
    <field x="0"/>
  </rowFields>
  <rowItems count="9">
    <i>
      <x/>
    </i>
    <i>
      <x v="1"/>
    </i>
    <i>
      <x v="2"/>
    </i>
    <i>
      <x v="3"/>
    </i>
    <i>
      <x v="4"/>
    </i>
    <i>
      <x v="5"/>
    </i>
    <i>
      <x v="6"/>
    </i>
    <i>
      <x v="7"/>
    </i>
    <i t="grand">
      <x/>
    </i>
  </rowItems>
  <colFields count="1">
    <field x="3"/>
  </colFields>
  <colItems count="2">
    <i>
      <x v="3"/>
    </i>
    <i t="grand">
      <x/>
    </i>
  </colItems>
  <pageFields count="1">
    <pageField fld="1" hier="-1"/>
  </pageFields>
  <dataFields count="1">
    <dataField name="Sum of arpu" fld="6" baseField="0" baseItem="0"/>
  </dataFields>
  <chartFormats count="45">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2">
          <reference field="4294967294" count="1" selected="0">
            <x v="0"/>
          </reference>
          <reference field="3" count="1" selected="0">
            <x v="4"/>
          </reference>
        </references>
      </pivotArea>
    </chartFormat>
    <chartFormat chart="0" format="5" series="1">
      <pivotArea type="data" outline="0" fieldPosition="0">
        <references count="2">
          <reference field="4294967294" count="1" selected="0">
            <x v="0"/>
          </reference>
          <reference field="3" count="1" selected="0">
            <x v="5"/>
          </reference>
        </references>
      </pivotArea>
    </chartFormat>
    <chartFormat chart="0" format="6" series="1">
      <pivotArea type="data" outline="0" fieldPosition="0">
        <references count="2">
          <reference field="4294967294" count="1" selected="0">
            <x v="0"/>
          </reference>
          <reference field="3" count="1" selected="0">
            <x v="6"/>
          </reference>
        </references>
      </pivotArea>
    </chartFormat>
    <chartFormat chart="0" format="7" series="1">
      <pivotArea type="data" outline="0" fieldPosition="0">
        <references count="2">
          <reference field="4294967294" count="1" selected="0">
            <x v="0"/>
          </reference>
          <reference field="3" count="1" selected="0">
            <x v="7"/>
          </reference>
        </references>
      </pivotArea>
    </chartFormat>
    <chartFormat chart="0" format="8" series="1">
      <pivotArea type="data" outline="0" fieldPosition="0">
        <references count="2">
          <reference field="4294967294" count="1" selected="0">
            <x v="0"/>
          </reference>
          <reference field="3" count="1" selected="0">
            <x v="8"/>
          </reference>
        </references>
      </pivotArea>
    </chartFormat>
    <chartFormat chart="0" format="9" series="1">
      <pivotArea type="data" outline="0" fieldPosition="0">
        <references count="2">
          <reference field="4294967294" count="1" selected="0">
            <x v="0"/>
          </reference>
          <reference field="3" count="1" selected="0">
            <x v="9"/>
          </reference>
        </references>
      </pivotArea>
    </chartFormat>
    <chartFormat chart="0" format="10" series="1">
      <pivotArea type="data" outline="0" fieldPosition="0">
        <references count="2">
          <reference field="4294967294" count="1" selected="0">
            <x v="0"/>
          </reference>
          <reference field="3" count="1" selected="0">
            <x v="10"/>
          </reference>
        </references>
      </pivotArea>
    </chartFormat>
    <chartFormat chart="0" format="11" series="1">
      <pivotArea type="data" outline="0" fieldPosition="0">
        <references count="2">
          <reference field="4294967294" count="1" selected="0">
            <x v="0"/>
          </reference>
          <reference field="3" count="1" selected="0">
            <x v="11"/>
          </reference>
        </references>
      </pivotArea>
    </chartFormat>
    <chartFormat chart="0" format="12" series="1">
      <pivotArea type="data" outline="0" fieldPosition="0">
        <references count="2">
          <reference field="4294967294" count="1" selected="0">
            <x v="0"/>
          </reference>
          <reference field="3" count="1" selected="0">
            <x v="12"/>
          </reference>
        </references>
      </pivotArea>
    </chartFormat>
    <chartFormat chart="0" format="13" series="1">
      <pivotArea type="data" outline="0" fieldPosition="0">
        <references count="2">
          <reference field="4294967294" count="1" selected="0">
            <x v="0"/>
          </reference>
          <reference field="3" count="1" selected="0">
            <x v="13"/>
          </reference>
        </references>
      </pivotArea>
    </chartFormat>
    <chartFormat chart="0" format="14" series="1">
      <pivotArea type="data" outline="0" fieldPosition="0">
        <references count="2">
          <reference field="4294967294" count="1" selected="0">
            <x v="0"/>
          </reference>
          <reference field="3" count="1" selected="0">
            <x v="14"/>
          </reference>
        </references>
      </pivotArea>
    </chartFormat>
    <chartFormat chart="1" format="15" series="1">
      <pivotArea type="data" outline="0" fieldPosition="0">
        <references count="2">
          <reference field="4294967294" count="1" selected="0">
            <x v="0"/>
          </reference>
          <reference field="3" count="1" selected="0">
            <x v="0"/>
          </reference>
        </references>
      </pivotArea>
    </chartFormat>
    <chartFormat chart="1" format="16" series="1">
      <pivotArea type="data" outline="0" fieldPosition="0">
        <references count="2">
          <reference field="4294967294" count="1" selected="0">
            <x v="0"/>
          </reference>
          <reference field="3" count="1" selected="0">
            <x v="1"/>
          </reference>
        </references>
      </pivotArea>
    </chartFormat>
    <chartFormat chart="1" format="17" series="1">
      <pivotArea type="data" outline="0" fieldPosition="0">
        <references count="2">
          <reference field="4294967294" count="1" selected="0">
            <x v="0"/>
          </reference>
          <reference field="3" count="1" selected="0">
            <x v="2"/>
          </reference>
        </references>
      </pivotArea>
    </chartFormat>
    <chartFormat chart="1" format="18" series="1">
      <pivotArea type="data" outline="0" fieldPosition="0">
        <references count="2">
          <reference field="4294967294" count="1" selected="0">
            <x v="0"/>
          </reference>
          <reference field="3" count="1" selected="0">
            <x v="3"/>
          </reference>
        </references>
      </pivotArea>
    </chartFormat>
    <chartFormat chart="1" format="19" series="1">
      <pivotArea type="data" outline="0" fieldPosition="0">
        <references count="2">
          <reference field="4294967294" count="1" selected="0">
            <x v="0"/>
          </reference>
          <reference field="3" count="1" selected="0">
            <x v="4"/>
          </reference>
        </references>
      </pivotArea>
    </chartFormat>
    <chartFormat chart="1" format="20" series="1">
      <pivotArea type="data" outline="0" fieldPosition="0">
        <references count="2">
          <reference field="4294967294" count="1" selected="0">
            <x v="0"/>
          </reference>
          <reference field="3" count="1" selected="0">
            <x v="5"/>
          </reference>
        </references>
      </pivotArea>
    </chartFormat>
    <chartFormat chart="1" format="21" series="1">
      <pivotArea type="data" outline="0" fieldPosition="0">
        <references count="2">
          <reference field="4294967294" count="1" selected="0">
            <x v="0"/>
          </reference>
          <reference field="3" count="1" selected="0">
            <x v="6"/>
          </reference>
        </references>
      </pivotArea>
    </chartFormat>
    <chartFormat chart="1" format="22" series="1">
      <pivotArea type="data" outline="0" fieldPosition="0">
        <references count="2">
          <reference field="4294967294" count="1" selected="0">
            <x v="0"/>
          </reference>
          <reference field="3" count="1" selected="0">
            <x v="7"/>
          </reference>
        </references>
      </pivotArea>
    </chartFormat>
    <chartFormat chart="1" format="23" series="1">
      <pivotArea type="data" outline="0" fieldPosition="0">
        <references count="2">
          <reference field="4294967294" count="1" selected="0">
            <x v="0"/>
          </reference>
          <reference field="3" count="1" selected="0">
            <x v="8"/>
          </reference>
        </references>
      </pivotArea>
    </chartFormat>
    <chartFormat chart="1" format="24" series="1">
      <pivotArea type="data" outline="0" fieldPosition="0">
        <references count="2">
          <reference field="4294967294" count="1" selected="0">
            <x v="0"/>
          </reference>
          <reference field="3" count="1" selected="0">
            <x v="9"/>
          </reference>
        </references>
      </pivotArea>
    </chartFormat>
    <chartFormat chart="1" format="25" series="1">
      <pivotArea type="data" outline="0" fieldPosition="0">
        <references count="2">
          <reference field="4294967294" count="1" selected="0">
            <x v="0"/>
          </reference>
          <reference field="3" count="1" selected="0">
            <x v="10"/>
          </reference>
        </references>
      </pivotArea>
    </chartFormat>
    <chartFormat chart="1" format="26" series="1">
      <pivotArea type="data" outline="0" fieldPosition="0">
        <references count="2">
          <reference field="4294967294" count="1" selected="0">
            <x v="0"/>
          </reference>
          <reference field="3" count="1" selected="0">
            <x v="11"/>
          </reference>
        </references>
      </pivotArea>
    </chartFormat>
    <chartFormat chart="1" format="27" series="1">
      <pivotArea type="data" outline="0" fieldPosition="0">
        <references count="2">
          <reference field="4294967294" count="1" selected="0">
            <x v="0"/>
          </reference>
          <reference field="3" count="1" selected="0">
            <x v="12"/>
          </reference>
        </references>
      </pivotArea>
    </chartFormat>
    <chartFormat chart="1" format="28" series="1">
      <pivotArea type="data" outline="0" fieldPosition="0">
        <references count="2">
          <reference field="4294967294" count="1" selected="0">
            <x v="0"/>
          </reference>
          <reference field="3" count="1" selected="0">
            <x v="13"/>
          </reference>
        </references>
      </pivotArea>
    </chartFormat>
    <chartFormat chart="1" format="29" series="1">
      <pivotArea type="data" outline="0" fieldPosition="0">
        <references count="2">
          <reference field="4294967294" count="1" selected="0">
            <x v="0"/>
          </reference>
          <reference field="3" count="1" selected="0">
            <x v="14"/>
          </reference>
        </references>
      </pivotArea>
    </chartFormat>
    <chartFormat chart="2" format="30" series="1">
      <pivotArea type="data" outline="0" fieldPosition="0">
        <references count="2">
          <reference field="4294967294" count="1" selected="0">
            <x v="0"/>
          </reference>
          <reference field="3" count="1" selected="0">
            <x v="0"/>
          </reference>
        </references>
      </pivotArea>
    </chartFormat>
    <chartFormat chart="2" format="31" series="1">
      <pivotArea type="data" outline="0" fieldPosition="0">
        <references count="2">
          <reference field="4294967294" count="1" selected="0">
            <x v="0"/>
          </reference>
          <reference field="3" count="1" selected="0">
            <x v="1"/>
          </reference>
        </references>
      </pivotArea>
    </chartFormat>
    <chartFormat chart="2" format="32" series="1">
      <pivotArea type="data" outline="0" fieldPosition="0">
        <references count="2">
          <reference field="4294967294" count="1" selected="0">
            <x v="0"/>
          </reference>
          <reference field="3" count="1" selected="0">
            <x v="2"/>
          </reference>
        </references>
      </pivotArea>
    </chartFormat>
    <chartFormat chart="2" format="33" series="1">
      <pivotArea type="data" outline="0" fieldPosition="0">
        <references count="2">
          <reference field="4294967294" count="1" selected="0">
            <x v="0"/>
          </reference>
          <reference field="3" count="1" selected="0">
            <x v="3"/>
          </reference>
        </references>
      </pivotArea>
    </chartFormat>
    <chartFormat chart="2" format="34" series="1">
      <pivotArea type="data" outline="0" fieldPosition="0">
        <references count="2">
          <reference field="4294967294" count="1" selected="0">
            <x v="0"/>
          </reference>
          <reference field="3" count="1" selected="0">
            <x v="4"/>
          </reference>
        </references>
      </pivotArea>
    </chartFormat>
    <chartFormat chart="2" format="35" series="1">
      <pivotArea type="data" outline="0" fieldPosition="0">
        <references count="2">
          <reference field="4294967294" count="1" selected="0">
            <x v="0"/>
          </reference>
          <reference field="3" count="1" selected="0">
            <x v="5"/>
          </reference>
        </references>
      </pivotArea>
    </chartFormat>
    <chartFormat chart="2" format="36" series="1">
      <pivotArea type="data" outline="0" fieldPosition="0">
        <references count="2">
          <reference field="4294967294" count="1" selected="0">
            <x v="0"/>
          </reference>
          <reference field="3" count="1" selected="0">
            <x v="6"/>
          </reference>
        </references>
      </pivotArea>
    </chartFormat>
    <chartFormat chart="2" format="37" series="1">
      <pivotArea type="data" outline="0" fieldPosition="0">
        <references count="2">
          <reference field="4294967294" count="1" selected="0">
            <x v="0"/>
          </reference>
          <reference field="3" count="1" selected="0">
            <x v="7"/>
          </reference>
        </references>
      </pivotArea>
    </chartFormat>
    <chartFormat chart="2" format="38" series="1">
      <pivotArea type="data" outline="0" fieldPosition="0">
        <references count="2">
          <reference field="4294967294" count="1" selected="0">
            <x v="0"/>
          </reference>
          <reference field="3" count="1" selected="0">
            <x v="8"/>
          </reference>
        </references>
      </pivotArea>
    </chartFormat>
    <chartFormat chart="2" format="39" series="1">
      <pivotArea type="data" outline="0" fieldPosition="0">
        <references count="2">
          <reference field="4294967294" count="1" selected="0">
            <x v="0"/>
          </reference>
          <reference field="3" count="1" selected="0">
            <x v="9"/>
          </reference>
        </references>
      </pivotArea>
    </chartFormat>
    <chartFormat chart="2" format="40" series="1">
      <pivotArea type="data" outline="0" fieldPosition="0">
        <references count="2">
          <reference field="4294967294" count="1" selected="0">
            <x v="0"/>
          </reference>
          <reference field="3" count="1" selected="0">
            <x v="10"/>
          </reference>
        </references>
      </pivotArea>
    </chartFormat>
    <chartFormat chart="2" format="41" series="1">
      <pivotArea type="data" outline="0" fieldPosition="0">
        <references count="2">
          <reference field="4294967294" count="1" selected="0">
            <x v="0"/>
          </reference>
          <reference field="3" count="1" selected="0">
            <x v="11"/>
          </reference>
        </references>
      </pivotArea>
    </chartFormat>
    <chartFormat chart="2" format="42" series="1">
      <pivotArea type="data" outline="0" fieldPosition="0">
        <references count="2">
          <reference field="4294967294" count="1" selected="0">
            <x v="0"/>
          </reference>
          <reference field="3" count="1" selected="0">
            <x v="12"/>
          </reference>
        </references>
      </pivotArea>
    </chartFormat>
    <chartFormat chart="2" format="43" series="1">
      <pivotArea type="data" outline="0" fieldPosition="0">
        <references count="2">
          <reference field="4294967294" count="1" selected="0">
            <x v="0"/>
          </reference>
          <reference field="3" count="1" selected="0">
            <x v="13"/>
          </reference>
        </references>
      </pivotArea>
    </chartFormat>
    <chartFormat chart="2" format="44" series="1">
      <pivotArea type="data" outline="0" fieldPosition="0">
        <references count="2">
          <reference field="4294967294" count="1" selected="0">
            <x v="0"/>
          </reference>
          <reference field="3" count="1" selected="0">
            <x v="1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600-000007000000}" name="PivotTable4" cacheId="11963" applyNumberFormats="0" applyBorderFormats="0" applyFontFormats="0" applyPatternFormats="0" applyAlignmentFormats="0" applyWidthHeightFormats="1" dataCaption="Values" updatedVersion="8" minRefreshableVersion="3" useAutoFormatting="1" itemPrintTitles="1" createdVersion="4" indent="0" outline="1" outlineData="1" multipleFieldFilters="0">
  <location ref="K4:L6" firstHeaderRow="1" firstDataRow="1" firstDataCol="1" rowPageCount="2" colPageCount="1"/>
  <pivotFields count="9">
    <pivotField axis="axisPage" numFmtId="15" showAll="0">
      <items count="9">
        <item x="0"/>
        <item x="1"/>
        <item x="2"/>
        <item x="3"/>
        <item x="4"/>
        <item x="5"/>
        <item x="6"/>
        <item x="7"/>
        <item t="default"/>
      </items>
    </pivotField>
    <pivotField axis="axisPage" showAll="0">
      <items count="3">
        <item x="1"/>
        <item x="0"/>
        <item t="default"/>
      </items>
    </pivotField>
    <pivotField showAll="0"/>
    <pivotField axis="axisRow" showAll="0">
      <items count="16">
        <item h="1" x="7"/>
        <item h="1" x="3"/>
        <item h="1" x="12"/>
        <item x="4"/>
        <item h="1" x="11"/>
        <item h="1" x="1"/>
        <item h="1" x="13"/>
        <item h="1" x="5"/>
        <item h="1" x="8"/>
        <item h="1" x="2"/>
        <item h="1" x="9"/>
        <item h="1" x="0"/>
        <item h="1" x="10"/>
        <item h="1" x="6"/>
        <item h="1" x="14"/>
        <item t="default"/>
      </items>
    </pivotField>
    <pivotField showAll="0"/>
    <pivotField showAll="0"/>
    <pivotField showAll="0"/>
    <pivotField showAll="0"/>
    <pivotField dataField="1" showAll="0"/>
  </pivotFields>
  <rowFields count="1">
    <field x="3"/>
  </rowFields>
  <rowItems count="2">
    <i>
      <x v="3"/>
    </i>
    <i t="grand">
      <x/>
    </i>
  </rowItems>
  <colItems count="1">
    <i/>
  </colItems>
  <pageFields count="2">
    <pageField fld="0" item="7" hier="-1"/>
    <pageField fld="1" hier="-1"/>
  </pageFields>
  <dataFields count="1">
    <dataField name="Sum of unsubscribed_users_lakhs"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600-000008000000}" name="PivotTable5" cacheId="11963" applyNumberFormats="0" applyBorderFormats="0" applyFontFormats="0" applyPatternFormats="0" applyAlignmentFormats="0" applyWidthHeightFormats="1" dataCaption="Values" updatedVersion="8" minRefreshableVersion="3" useAutoFormatting="1" itemPrintTitles="1" createdVersion="4" indent="0" outline="1" outlineData="1" multipleFieldFilters="0" chartFormat="3">
  <location ref="A108:C111" firstHeaderRow="1" firstDataRow="2" firstDataCol="1" rowPageCount="1" colPageCount="1"/>
  <pivotFields count="9">
    <pivotField axis="axisCol" numFmtId="15" showAll="0">
      <items count="9">
        <item h="1" x="0"/>
        <item h="1" x="1"/>
        <item h="1" x="2"/>
        <item h="1" x="3"/>
        <item h="1" x="4"/>
        <item h="1" x="5"/>
        <item h="1" x="6"/>
        <item x="7"/>
        <item t="default"/>
      </items>
    </pivotField>
    <pivotField axis="axisPage" showAll="0">
      <items count="3">
        <item x="1"/>
        <item x="0"/>
        <item t="default"/>
      </items>
    </pivotField>
    <pivotField showAll="0"/>
    <pivotField axis="axisRow" showAll="0">
      <items count="16">
        <item h="1" x="7"/>
        <item h="1" x="3"/>
        <item h="1" x="12"/>
        <item x="4"/>
        <item h="1" x="11"/>
        <item h="1" x="1"/>
        <item h="1" x="13"/>
        <item h="1" x="5"/>
        <item h="1" x="8"/>
        <item h="1" x="2"/>
        <item h="1" x="9"/>
        <item h="1" x="0"/>
        <item h="1" x="10"/>
        <item h="1" x="6"/>
        <item h="1" x="14"/>
        <item t="default"/>
      </items>
    </pivotField>
    <pivotField showAll="0"/>
    <pivotField showAll="0"/>
    <pivotField showAll="0"/>
    <pivotField showAll="0"/>
    <pivotField dataField="1" showAll="0"/>
  </pivotFields>
  <rowFields count="1">
    <field x="3"/>
  </rowFields>
  <rowItems count="2">
    <i>
      <x v="3"/>
    </i>
    <i t="grand">
      <x/>
    </i>
  </rowItems>
  <colFields count="1">
    <field x="0"/>
  </colFields>
  <colItems count="2">
    <i>
      <x v="7"/>
    </i>
    <i t="grand">
      <x/>
    </i>
  </colItems>
  <pageFields count="1">
    <pageField fld="1" hier="-1"/>
  </pageFields>
  <dataFields count="1">
    <dataField name="Sum of unsubscribed_users_lakhs" fld="8" baseField="0" baseItem="0"/>
  </dataFields>
  <chartFormats count="20">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0" count="1" selected="0">
            <x v="0"/>
          </reference>
        </references>
      </pivotArea>
    </chartFormat>
    <chartFormat chart="1" format="2" series="1">
      <pivotArea type="data" outline="0" fieldPosition="0">
        <references count="2">
          <reference field="4294967294" count="1" selected="0">
            <x v="0"/>
          </reference>
          <reference field="0" count="1" selected="0">
            <x v="1"/>
          </reference>
        </references>
      </pivotArea>
    </chartFormat>
    <chartFormat chart="1" format="3" series="1">
      <pivotArea type="data" outline="0" fieldPosition="0">
        <references count="2">
          <reference field="4294967294" count="1" selected="0">
            <x v="0"/>
          </reference>
          <reference field="0" count="1" selected="0">
            <x v="2"/>
          </reference>
        </references>
      </pivotArea>
    </chartFormat>
    <chartFormat chart="1" format="4" series="1">
      <pivotArea type="data" outline="0" fieldPosition="0">
        <references count="2">
          <reference field="4294967294" count="1" selected="0">
            <x v="0"/>
          </reference>
          <reference field="0" count="1" selected="0">
            <x v="3"/>
          </reference>
        </references>
      </pivotArea>
    </chartFormat>
    <chartFormat chart="1" format="5" series="1">
      <pivotArea type="data" outline="0" fieldPosition="0">
        <references count="2">
          <reference field="4294967294" count="1" selected="0">
            <x v="0"/>
          </reference>
          <reference field="0" count="1" selected="0">
            <x v="4"/>
          </reference>
        </references>
      </pivotArea>
    </chartFormat>
    <chartFormat chart="1" format="6" series="1">
      <pivotArea type="data" outline="0" fieldPosition="0">
        <references count="2">
          <reference field="4294967294" count="1" selected="0">
            <x v="0"/>
          </reference>
          <reference field="0" count="1" selected="0">
            <x v="5"/>
          </reference>
        </references>
      </pivotArea>
    </chartFormat>
    <chartFormat chart="1" format="7" series="1">
      <pivotArea type="data" outline="0" fieldPosition="0">
        <references count="2">
          <reference field="4294967294" count="1" selected="0">
            <x v="0"/>
          </reference>
          <reference field="0" count="1" selected="0">
            <x v="6"/>
          </reference>
        </references>
      </pivotArea>
    </chartFormat>
    <chartFormat chart="1" format="8" series="1">
      <pivotArea type="data" outline="0" fieldPosition="0">
        <references count="2">
          <reference field="4294967294" count="1" selected="0">
            <x v="0"/>
          </reference>
          <reference field="0" count="1" selected="0">
            <x v="7"/>
          </reference>
        </references>
      </pivotArea>
    </chartFormat>
    <chartFormat chart="2" format="9" series="1">
      <pivotArea type="data" outline="0" fieldPosition="0">
        <references count="2">
          <reference field="4294967294" count="1" selected="0">
            <x v="0"/>
          </reference>
          <reference field="0" count="1" selected="0">
            <x v="0"/>
          </reference>
        </references>
      </pivotArea>
    </chartFormat>
    <chartFormat chart="2" format="10" series="1">
      <pivotArea type="data" outline="0" fieldPosition="0">
        <references count="2">
          <reference field="4294967294" count="1" selected="0">
            <x v="0"/>
          </reference>
          <reference field="0" count="1" selected="0">
            <x v="1"/>
          </reference>
        </references>
      </pivotArea>
    </chartFormat>
    <chartFormat chart="2" format="11" series="1">
      <pivotArea type="data" outline="0" fieldPosition="0">
        <references count="2">
          <reference field="4294967294" count="1" selected="0">
            <x v="0"/>
          </reference>
          <reference field="0" count="1" selected="0">
            <x v="2"/>
          </reference>
        </references>
      </pivotArea>
    </chartFormat>
    <chartFormat chart="2" format="12" series="1">
      <pivotArea type="data" outline="0" fieldPosition="0">
        <references count="2">
          <reference field="4294967294" count="1" selected="0">
            <x v="0"/>
          </reference>
          <reference field="0" count="1" selected="0">
            <x v="3"/>
          </reference>
        </references>
      </pivotArea>
    </chartFormat>
    <chartFormat chart="2" format="13" series="1">
      <pivotArea type="data" outline="0" fieldPosition="0">
        <references count="2">
          <reference field="4294967294" count="1" selected="0">
            <x v="0"/>
          </reference>
          <reference field="0" count="1" selected="0">
            <x v="4"/>
          </reference>
        </references>
      </pivotArea>
    </chartFormat>
    <chartFormat chart="2" format="14" series="1">
      <pivotArea type="data" outline="0" fieldPosition="0">
        <references count="2">
          <reference field="4294967294" count="1" selected="0">
            <x v="0"/>
          </reference>
          <reference field="0" count="1" selected="0">
            <x v="5"/>
          </reference>
        </references>
      </pivotArea>
    </chartFormat>
    <chartFormat chart="2" format="15" series="1">
      <pivotArea type="data" outline="0" fieldPosition="0">
        <references count="2">
          <reference field="4294967294" count="1" selected="0">
            <x v="0"/>
          </reference>
          <reference field="0" count="1" selected="0">
            <x v="6"/>
          </reference>
        </references>
      </pivotArea>
    </chartFormat>
    <chartFormat chart="2" format="16" series="1">
      <pivotArea type="data" outline="0" fieldPosition="0">
        <references count="2">
          <reference field="4294967294" count="1" selected="0">
            <x v="0"/>
          </reference>
          <reference field="0" count="1" selected="0">
            <x v="7"/>
          </reference>
        </references>
      </pivotArea>
    </chartFormat>
    <chartFormat chart="2" format="17"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0" count="1" selected="0">
            <x v="4"/>
          </reference>
        </references>
      </pivotArea>
    </chartFormat>
    <chartFormat chart="0" format="2" series="1">
      <pivotArea type="data" outline="0" fieldPosition="0">
        <references count="2">
          <reference field="4294967294" count="1" selected="0">
            <x v="0"/>
          </reference>
          <reference field="0"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600-000003000000}" name="PivotTable14" cacheId="11963" applyNumberFormats="0" applyBorderFormats="0" applyFontFormats="0" applyPatternFormats="0" applyAlignmentFormats="0" applyWidthHeightFormats="1" dataCaption="Values" updatedVersion="8" minRefreshableVersion="3" useAutoFormatting="1" itemPrintTitles="1" createdVersion="4" indent="0" outline="1" outlineData="1" multipleFieldFilters="0">
  <location ref="A54:B56" firstHeaderRow="1" firstDataRow="1" firstDataCol="1"/>
  <pivotFields count="9">
    <pivotField numFmtId="15" showAll="0"/>
    <pivotField showAll="0"/>
    <pivotField showAll="0"/>
    <pivotField axis="axisRow" showAll="0">
      <items count="16">
        <item h="1" x="7"/>
        <item h="1" x="3"/>
        <item h="1" x="12"/>
        <item x="4"/>
        <item h="1" x="11"/>
        <item h="1" x="1"/>
        <item h="1" x="13"/>
        <item h="1" x="5"/>
        <item h="1" x="8"/>
        <item h="1" x="2"/>
        <item h="1" x="9"/>
        <item h="1" x="0"/>
        <item h="1" x="10"/>
        <item h="1" x="6"/>
        <item h="1" x="14"/>
        <item t="default"/>
      </items>
    </pivotField>
    <pivotField showAll="0"/>
    <pivotField showAll="0"/>
    <pivotField showAll="0"/>
    <pivotField dataField="1" showAll="0"/>
    <pivotField showAll="0"/>
  </pivotFields>
  <rowFields count="1">
    <field x="3"/>
  </rowFields>
  <rowItems count="2">
    <i>
      <x v="3"/>
    </i>
    <i t="grand">
      <x/>
    </i>
  </rowItems>
  <colItems count="1">
    <i/>
  </colItems>
  <dataFields count="1">
    <dataField name="Sum of active_users_lakh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1" cacheId="11963" applyNumberFormats="0" applyBorderFormats="0" applyFontFormats="0" applyPatternFormats="0" applyAlignmentFormats="0" applyWidthHeightFormats="1" dataCaption="Values" updatedVersion="8" minRefreshableVersion="3" useAutoFormatting="1" itemPrintTitles="1" createdVersion="4" indent="0" outline="1" outlineData="1" multipleFieldFilters="0" chartFormat="3">
  <location ref="A127:B129" firstHeaderRow="1" firstDataRow="1" firstDataCol="1" rowPageCount="2" colPageCount="1"/>
  <pivotFields count="9">
    <pivotField axis="axisRow" numFmtId="15" showAll="0">
      <items count="9">
        <item h="1" x="0"/>
        <item h="1" x="1"/>
        <item h="1" x="2"/>
        <item h="1" x="3"/>
        <item h="1" x="4"/>
        <item h="1" x="5"/>
        <item h="1" x="6"/>
        <item x="7"/>
        <item t="default"/>
      </items>
    </pivotField>
    <pivotField axis="axisPage" showAll="0">
      <items count="3">
        <item x="1"/>
        <item x="0"/>
        <item t="default"/>
      </items>
    </pivotField>
    <pivotField showAll="0"/>
    <pivotField axis="axisPage" multipleItemSelectionAllowed="1" showAll="0">
      <items count="16">
        <item h="1" x="7"/>
        <item h="1" x="3"/>
        <item h="1" x="12"/>
        <item x="4"/>
        <item h="1" x="11"/>
        <item h="1" x="1"/>
        <item h="1" x="13"/>
        <item h="1" x="5"/>
        <item h="1" x="8"/>
        <item h="1" x="2"/>
        <item h="1" x="9"/>
        <item h="1" x="0"/>
        <item h="1" x="10"/>
        <item h="1" x="6"/>
        <item h="1" x="14"/>
        <item t="default"/>
      </items>
    </pivotField>
    <pivotField showAll="0"/>
    <pivotField showAll="0"/>
    <pivotField showAll="0"/>
    <pivotField showAll="0"/>
    <pivotField dataField="1" showAll="0"/>
  </pivotFields>
  <rowFields count="1">
    <field x="0"/>
  </rowFields>
  <rowItems count="2">
    <i>
      <x v="7"/>
    </i>
    <i t="grand">
      <x/>
    </i>
  </rowItems>
  <colItems count="1">
    <i/>
  </colItems>
  <pageFields count="2">
    <pageField fld="1" hier="-1"/>
    <pageField fld="3" hier="-1"/>
  </pageFields>
  <dataFields count="1">
    <dataField name="Sum of unsubscribed_users_lakhs" fld="8"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700-000001000000}" name="PivotTable18" cacheId="11964"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3">
  <location ref="A27:B29" firstHeaderRow="1" firstDataRow="1" firstDataCol="1" rowPageCount="1" colPageCount="1"/>
  <pivotFields count="7">
    <pivotField axis="axisPage" numFmtId="15" showAll="0">
      <items count="9">
        <item x="0"/>
        <item x="1"/>
        <item x="2"/>
        <item x="3"/>
        <item x="4"/>
        <item x="5"/>
        <item x="6"/>
        <item x="7"/>
        <item t="default"/>
      </items>
    </pivotField>
    <pivotField showAll="0"/>
    <pivotField showAll="0"/>
    <pivotField axis="axisRow" multipleItemSelectionAllowed="1" showAll="0">
      <items count="16">
        <item h="1" x="7"/>
        <item h="1" x="3"/>
        <item h="1" x="12"/>
        <item h="1" x="4"/>
        <item h="1" x="11"/>
        <item h="1" x="1"/>
        <item h="1" x="13"/>
        <item x="5"/>
        <item h="1" x="8"/>
        <item h="1" x="2"/>
        <item h="1" x="9"/>
        <item h="1" x="0"/>
        <item h="1" x="10"/>
        <item h="1" x="6"/>
        <item h="1" x="14"/>
        <item t="default"/>
      </items>
    </pivotField>
    <pivotField dataField="1" showAll="0"/>
    <pivotField showAll="0">
      <items count="6">
        <item x="0"/>
        <item x="1"/>
        <item x="3"/>
        <item x="4"/>
        <item x="2"/>
        <item t="default"/>
      </items>
    </pivotField>
    <pivotField showAll="0"/>
  </pivotFields>
  <rowFields count="1">
    <field x="3"/>
  </rowFields>
  <rowItems count="2">
    <i>
      <x v="7"/>
    </i>
    <i t="grand">
      <x/>
    </i>
  </rowItems>
  <colItems count="1">
    <i/>
  </colItems>
  <pageFields count="1">
    <pageField fld="0" hier="-1"/>
  </pageFields>
  <dataFields count="1">
    <dataField name="Sum of tmv_city_crores" fld="4" baseField="0" baseItem="0"/>
  </dataFields>
  <chartFormats count="2">
    <chartFormat chart="0" format="5"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17" cacheId="11964"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4">
  <location ref="A4:C11" firstHeaderRow="1" firstDataRow="2" firstDataCol="1" rowPageCount="2" colPageCount="1"/>
  <pivotFields count="7">
    <pivotField axis="axisPage" numFmtId="15" showAll="0">
      <items count="9">
        <item x="0"/>
        <item x="1"/>
        <item x="2"/>
        <item x="3"/>
        <item x="4"/>
        <item x="5"/>
        <item x="6"/>
        <item x="7"/>
        <item t="default"/>
      </items>
    </pivotField>
    <pivotField axis="axisPage" showAll="0">
      <items count="3">
        <item x="1"/>
        <item x="0"/>
        <item t="default"/>
      </items>
    </pivotField>
    <pivotField showAll="0"/>
    <pivotField axis="axisCol" showAll="0">
      <items count="16">
        <item h="1" x="7"/>
        <item h="1" x="3"/>
        <item h="1" x="12"/>
        <item h="1" x="4"/>
        <item h="1" x="11"/>
        <item h="1" x="1"/>
        <item h="1" x="13"/>
        <item x="5"/>
        <item h="1" x="8"/>
        <item h="1" x="2"/>
        <item h="1" x="9"/>
        <item h="1" x="0"/>
        <item h="1" x="10"/>
        <item h="1" x="6"/>
        <item h="1" x="14"/>
        <item t="default"/>
      </items>
    </pivotField>
    <pivotField showAll="0"/>
    <pivotField axis="axisRow" showAll="0">
      <items count="6">
        <item x="0"/>
        <item x="1"/>
        <item x="3"/>
        <item x="4"/>
        <item x="2"/>
        <item t="default"/>
      </items>
    </pivotField>
    <pivotField dataField="1" showAll="0"/>
  </pivotFields>
  <rowFields count="1">
    <field x="5"/>
  </rowFields>
  <rowItems count="6">
    <i>
      <x/>
    </i>
    <i>
      <x v="1"/>
    </i>
    <i>
      <x v="2"/>
    </i>
    <i>
      <x v="3"/>
    </i>
    <i>
      <x v="4"/>
    </i>
    <i t="grand">
      <x/>
    </i>
  </rowItems>
  <colFields count="1">
    <field x="3"/>
  </colFields>
  <colItems count="2">
    <i>
      <x v="7"/>
    </i>
    <i t="grand">
      <x/>
    </i>
  </colItems>
  <pageFields count="2">
    <pageField fld="1" hier="-1"/>
    <pageField fld="0" hier="-1"/>
  </pageFields>
  <dataFields count="1">
    <dataField name="Sum of ms_pct" fld="6" baseField="0" baseItem="0"/>
  </dataFields>
  <chartFormats count="31">
    <chartFormat chart="1" format="0" series="1">
      <pivotArea type="data" outline="0" fieldPosition="0">
        <references count="2">
          <reference field="4294967294" count="1" selected="0">
            <x v="0"/>
          </reference>
          <reference field="3" count="1" selected="0">
            <x v="1"/>
          </reference>
        </references>
      </pivotArea>
    </chartFormat>
    <chartFormat chart="1" format="1" series="1">
      <pivotArea type="data" outline="0" fieldPosition="0">
        <references count="2">
          <reference field="4294967294" count="1" selected="0">
            <x v="0"/>
          </reference>
          <reference field="3" count="1" selected="0">
            <x v="2"/>
          </reference>
        </references>
      </pivotArea>
    </chartFormat>
    <chartFormat chart="1" format="2" series="1">
      <pivotArea type="data" outline="0" fieldPosition="0">
        <references count="2">
          <reference field="4294967294" count="1" selected="0">
            <x v="0"/>
          </reference>
          <reference field="3" count="1" selected="0">
            <x v="5"/>
          </reference>
        </references>
      </pivotArea>
    </chartFormat>
    <chartFormat chart="1" format="3" series="1">
      <pivotArea type="data" outline="0" fieldPosition="0">
        <references count="2">
          <reference field="4294967294" count="1" selected="0">
            <x v="0"/>
          </reference>
          <reference field="3" count="1" selected="0">
            <x v="7"/>
          </reference>
        </references>
      </pivotArea>
    </chartFormat>
    <chartFormat chart="1" format="4" series="1">
      <pivotArea type="data" outline="0" fieldPosition="0">
        <references count="2">
          <reference field="4294967294" count="1" selected="0">
            <x v="0"/>
          </reference>
          <reference field="3" count="1" selected="0">
            <x v="4"/>
          </reference>
        </references>
      </pivotArea>
    </chartFormat>
    <chartFormat chart="1" format="5" series="1">
      <pivotArea type="data" outline="0" fieldPosition="0">
        <references count="2">
          <reference field="4294967294" count="1" selected="0">
            <x v="0"/>
          </reference>
          <reference field="3" count="1" selected="0">
            <x v="3"/>
          </reference>
        </references>
      </pivotArea>
    </chartFormat>
    <chartFormat chart="1" format="6" series="1">
      <pivotArea type="data" outline="0" fieldPosition="0">
        <references count="2">
          <reference field="4294967294" count="1" selected="0">
            <x v="0"/>
          </reference>
          <reference field="3" count="1" selected="0">
            <x v="0"/>
          </reference>
        </references>
      </pivotArea>
    </chartFormat>
    <chartFormat chart="1" format="7" series="1">
      <pivotArea type="data" outline="0" fieldPosition="0">
        <references count="2">
          <reference field="4294967294" count="1" selected="0">
            <x v="0"/>
          </reference>
          <reference field="3" count="1" selected="0">
            <x v="6"/>
          </reference>
        </references>
      </pivotArea>
    </chartFormat>
    <chartFormat chart="1" format="8" series="1">
      <pivotArea type="data" outline="0" fieldPosition="0">
        <references count="2">
          <reference field="4294967294" count="1" selected="0">
            <x v="0"/>
          </reference>
          <reference field="3" count="1" selected="0">
            <x v="13"/>
          </reference>
        </references>
      </pivotArea>
    </chartFormat>
    <chartFormat chart="1" format="9" series="1">
      <pivotArea type="data" outline="0" fieldPosition="0">
        <references count="2">
          <reference field="4294967294" count="1" selected="0">
            <x v="0"/>
          </reference>
          <reference field="3" count="1" selected="0">
            <x v="8"/>
          </reference>
        </references>
      </pivotArea>
    </chartFormat>
    <chartFormat chart="1" format="10" series="1">
      <pivotArea type="data" outline="0" fieldPosition="0">
        <references count="2">
          <reference field="4294967294" count="1" selected="0">
            <x v="0"/>
          </reference>
          <reference field="3" count="1" selected="0">
            <x v="9"/>
          </reference>
        </references>
      </pivotArea>
    </chartFormat>
    <chartFormat chart="1" format="11" series="1">
      <pivotArea type="data" outline="0" fieldPosition="0">
        <references count="2">
          <reference field="4294967294" count="1" selected="0">
            <x v="0"/>
          </reference>
          <reference field="3" count="1" selected="0">
            <x v="10"/>
          </reference>
        </references>
      </pivotArea>
    </chartFormat>
    <chartFormat chart="1" format="12" series="1">
      <pivotArea type="data" outline="0" fieldPosition="0">
        <references count="2">
          <reference field="4294967294" count="1" selected="0">
            <x v="0"/>
          </reference>
          <reference field="3" count="1" selected="0">
            <x v="11"/>
          </reference>
        </references>
      </pivotArea>
    </chartFormat>
    <chartFormat chart="1" format="13" series="1">
      <pivotArea type="data" outline="0" fieldPosition="0">
        <references count="2">
          <reference field="4294967294" count="1" selected="0">
            <x v="0"/>
          </reference>
          <reference field="3" count="1" selected="0">
            <x v="12"/>
          </reference>
        </references>
      </pivotArea>
    </chartFormat>
    <chartFormat chart="1" format="14" series="1">
      <pivotArea type="data" outline="0" fieldPosition="0">
        <references count="2">
          <reference field="4294967294" count="1" selected="0">
            <x v="0"/>
          </reference>
          <reference field="3" count="1" selected="0">
            <x v="14"/>
          </reference>
        </references>
      </pivotArea>
    </chartFormat>
    <chartFormat chart="3" format="16" series="1">
      <pivotArea type="data" outline="0" fieldPosition="0">
        <references count="2">
          <reference field="4294967294" count="1" selected="0">
            <x v="0"/>
          </reference>
          <reference field="3" count="1" selected="0">
            <x v="12"/>
          </reference>
        </references>
      </pivotArea>
    </chartFormat>
    <chartFormat chart="3" format="17" series="1">
      <pivotArea type="data" outline="0" fieldPosition="0">
        <references count="2">
          <reference field="4294967294" count="1" selected="0">
            <x v="0"/>
          </reference>
          <reference field="3" count="1" selected="0">
            <x v="8"/>
          </reference>
        </references>
      </pivotArea>
    </chartFormat>
    <chartFormat chart="3" format="18" series="1">
      <pivotArea type="data" outline="0" fieldPosition="0">
        <references count="2">
          <reference field="4294967294" count="1" selected="0">
            <x v="0"/>
          </reference>
          <reference field="3" count="1" selected="0">
            <x v="1"/>
          </reference>
        </references>
      </pivotArea>
    </chartFormat>
    <chartFormat chart="3" format="19" series="1">
      <pivotArea type="data" outline="0" fieldPosition="0">
        <references count="2">
          <reference field="4294967294" count="1" selected="0">
            <x v="0"/>
          </reference>
          <reference field="3" count="1" selected="0">
            <x v="2"/>
          </reference>
        </references>
      </pivotArea>
    </chartFormat>
    <chartFormat chart="3" format="20" series="1">
      <pivotArea type="data" outline="0" fieldPosition="0">
        <references count="2">
          <reference field="4294967294" count="1" selected="0">
            <x v="0"/>
          </reference>
          <reference field="3" count="1" selected="0">
            <x v="3"/>
          </reference>
        </references>
      </pivotArea>
    </chartFormat>
    <chartFormat chart="3" format="21" series="1">
      <pivotArea type="data" outline="0" fieldPosition="0">
        <references count="2">
          <reference field="4294967294" count="1" selected="0">
            <x v="0"/>
          </reference>
          <reference field="3" count="1" selected="0">
            <x v="4"/>
          </reference>
        </references>
      </pivotArea>
    </chartFormat>
    <chartFormat chart="3" format="22" series="1">
      <pivotArea type="data" outline="0" fieldPosition="0">
        <references count="2">
          <reference field="4294967294" count="1" selected="0">
            <x v="0"/>
          </reference>
          <reference field="3" count="1" selected="0">
            <x v="5"/>
          </reference>
        </references>
      </pivotArea>
    </chartFormat>
    <chartFormat chart="3" format="23" series="1">
      <pivotArea type="data" outline="0" fieldPosition="0">
        <references count="2">
          <reference field="4294967294" count="1" selected="0">
            <x v="0"/>
          </reference>
          <reference field="3" count="1" selected="0">
            <x v="6"/>
          </reference>
        </references>
      </pivotArea>
    </chartFormat>
    <chartFormat chart="3" format="24" series="1">
      <pivotArea type="data" outline="0" fieldPosition="0">
        <references count="2">
          <reference field="4294967294" count="1" selected="0">
            <x v="0"/>
          </reference>
          <reference field="3" count="1" selected="0">
            <x v="7"/>
          </reference>
        </references>
      </pivotArea>
    </chartFormat>
    <chartFormat chart="3" format="25" series="1">
      <pivotArea type="data" outline="0" fieldPosition="0">
        <references count="2">
          <reference field="4294967294" count="1" selected="0">
            <x v="0"/>
          </reference>
          <reference field="3" count="1" selected="0">
            <x v="9"/>
          </reference>
        </references>
      </pivotArea>
    </chartFormat>
    <chartFormat chart="3" format="26" series="1">
      <pivotArea type="data" outline="0" fieldPosition="0">
        <references count="2">
          <reference field="4294967294" count="1" selected="0">
            <x v="0"/>
          </reference>
          <reference field="3" count="1" selected="0">
            <x v="10"/>
          </reference>
        </references>
      </pivotArea>
    </chartFormat>
    <chartFormat chart="3" format="27" series="1">
      <pivotArea type="data" outline="0" fieldPosition="0">
        <references count="2">
          <reference field="4294967294" count="1" selected="0">
            <x v="0"/>
          </reference>
          <reference field="3" count="1" selected="0">
            <x v="11"/>
          </reference>
        </references>
      </pivotArea>
    </chartFormat>
    <chartFormat chart="3" format="28" series="1">
      <pivotArea type="data" outline="0" fieldPosition="0">
        <references count="2">
          <reference field="4294967294" count="1" selected="0">
            <x v="0"/>
          </reference>
          <reference field="3" count="1" selected="0">
            <x v="13"/>
          </reference>
        </references>
      </pivotArea>
    </chartFormat>
    <chartFormat chart="3" format="29" series="1">
      <pivotArea type="data" outline="0" fieldPosition="0">
        <references count="2">
          <reference field="4294967294" count="1" selected="0">
            <x v="0"/>
          </reference>
          <reference field="3" count="1" selected="0">
            <x v="14"/>
          </reference>
        </references>
      </pivotArea>
    </chartFormat>
    <chartFormat chart="3" format="30" series="1">
      <pivotArea type="data" outline="0" fieldPosition="0">
        <references count="2">
          <reference field="4294967294" count="1" selected="0">
            <x v="0"/>
          </reference>
          <reference field="3" count="1" selected="0">
            <x v="0"/>
          </reference>
        </references>
      </pivotArea>
    </chartFormat>
    <chartFormat chart="3" format="31">
      <pivotArea type="data" outline="0" fieldPosition="0">
        <references count="3">
          <reference field="4294967294" count="1" selected="0">
            <x v="0"/>
          </reference>
          <reference field="3" count="1" selected="0">
            <x v="2"/>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ivotTable1" cacheId="11965"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9">
  <location ref="A5:C17" firstHeaderRow="1" firstDataRow="2" firstDataCol="1" rowPageCount="2" colPageCount="1"/>
  <pivotFields count="6">
    <pivotField axis="axisPage" numFmtId="15" showAll="0">
      <items count="9">
        <item x="0"/>
        <item x="1"/>
        <item x="2"/>
        <item x="3"/>
        <item x="4"/>
        <item x="5"/>
        <item x="6"/>
        <item x="7"/>
        <item t="default"/>
      </items>
    </pivotField>
    <pivotField axis="axisPage" showAll="0">
      <items count="3">
        <item x="1"/>
        <item x="0"/>
        <item t="default"/>
      </items>
    </pivotField>
    <pivotField showAll="0"/>
    <pivotField axis="axisCol" showAll="0">
      <items count="16">
        <item h="1" x="7"/>
        <item h="1" x="3"/>
        <item h="1" x="12"/>
        <item h="1" x="4"/>
        <item h="1" x="11"/>
        <item x="1"/>
        <item h="1" x="13"/>
        <item h="1" x="5"/>
        <item h="1" x="8"/>
        <item h="1" x="2"/>
        <item h="1" x="9"/>
        <item h="1" x="0"/>
        <item h="1" x="10"/>
        <item h="1" x="6"/>
        <item h="1" x="14"/>
        <item t="default"/>
      </items>
    </pivotField>
    <pivotField axis="axisRow" showAll="0">
      <items count="14">
        <item x="0"/>
        <item x="9"/>
        <item x="10"/>
        <item x="11"/>
        <item x="12"/>
        <item x="1"/>
        <item x="2"/>
        <item x="3"/>
        <item x="4"/>
        <item x="5"/>
        <item x="6"/>
        <item x="7"/>
        <item x="8"/>
        <item t="default"/>
      </items>
    </pivotField>
    <pivotField dataField="1" showAll="0"/>
  </pivotFields>
  <rowFields count="1">
    <field x="4"/>
  </rowFields>
  <rowItems count="11">
    <i>
      <x/>
    </i>
    <i>
      <x v="1"/>
    </i>
    <i>
      <x v="5"/>
    </i>
    <i>
      <x v="6"/>
    </i>
    <i>
      <x v="7"/>
    </i>
    <i>
      <x v="8"/>
    </i>
    <i>
      <x v="9"/>
    </i>
    <i>
      <x v="10"/>
    </i>
    <i>
      <x v="11"/>
    </i>
    <i>
      <x v="12"/>
    </i>
    <i t="grand">
      <x/>
    </i>
  </rowItems>
  <colFields count="1">
    <field x="3"/>
  </colFields>
  <colItems count="2">
    <i>
      <x v="5"/>
    </i>
    <i t="grand">
      <x/>
    </i>
  </colItems>
  <pageFields count="2">
    <pageField fld="1" item="1" hier="-1"/>
    <pageField fld="0" item="3" hier="-1"/>
  </pageFields>
  <dataFields count="1">
    <dataField name="Sum of plan_revenue_crores" fld="5" baseField="0" baseItem="0"/>
  </dataFields>
  <chartFormats count="2">
    <chartFormat chart="7" format="16" series="1">
      <pivotArea type="data" outline="0" fieldPosition="0">
        <references count="2">
          <reference field="4294967294" count="1" selected="0">
            <x v="0"/>
          </reference>
          <reference field="3" count="1" selected="0">
            <x v="8"/>
          </reference>
        </references>
      </pivotArea>
    </chartFormat>
    <chartFormat chart="7" format="1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B00-000002000000}" name="PivotTable3" cacheId="11966" applyNumberFormats="0" applyBorderFormats="0" applyFontFormats="0" applyPatternFormats="0" applyAlignmentFormats="0" applyWidthHeightFormats="1" dataCaption="Values" updatedVersion="8" minRefreshableVersion="3" useAutoFormatting="1" itemPrintTitles="1" createdVersion="4" indent="0" outline="1" outlineData="1" multipleFieldFilters="0" chartFormat="3">
  <location ref="Z5:AB11" firstHeaderRow="1" firstDataRow="2" firstDataCol="1" rowPageCount="2" colPageCount="1"/>
  <pivotFields count="6">
    <pivotField axis="axisRow" numFmtId="15" showAll="0">
      <items count="9">
        <item x="0"/>
        <item x="1"/>
        <item x="2"/>
        <item x="3"/>
        <item x="4"/>
        <item x="5"/>
        <item x="6"/>
        <item x="7"/>
        <item t="default"/>
      </items>
    </pivotField>
    <pivotField axis="axisPage" showAll="0">
      <items count="3">
        <item x="1"/>
        <item x="0"/>
        <item t="default"/>
      </items>
    </pivotField>
    <pivotField showAll="0"/>
    <pivotField axis="axisPage" multipleItemSelectionAllowed="1" showAll="0" includeNewItemsInFilter="1" defaultSubtotal="0">
      <items count="15">
        <item h="1" x="7"/>
        <item h="1" x="3"/>
        <item h="1" x="12"/>
        <item h="1" x="4"/>
        <item x="11"/>
        <item h="1" x="1"/>
        <item h="1" x="13"/>
        <item h="1" x="5"/>
        <item h="1" x="8"/>
        <item h="1" x="2"/>
        <item h="1" x="9"/>
        <item h="1" x="0"/>
        <item h="1" x="10"/>
        <item h="1" x="6"/>
        <item h="1" x="14"/>
      </items>
    </pivotField>
    <pivotField axis="axisCol" showAll="0">
      <items count="14">
        <item h="1" x="0"/>
        <item h="1" x="9"/>
        <item h="1" x="10"/>
        <item x="11"/>
        <item h="1" x="12"/>
        <item h="1" x="1"/>
        <item h="1" x="2"/>
        <item h="1" x="3"/>
        <item h="1" x="4"/>
        <item h="1" x="5"/>
        <item h="1" x="6"/>
        <item h="1" x="7"/>
        <item h="1" x="8"/>
        <item t="default"/>
      </items>
    </pivotField>
    <pivotField dataField="1" showAll="0"/>
  </pivotFields>
  <rowFields count="1">
    <field x="0"/>
  </rowFields>
  <rowItems count="5">
    <i>
      <x v="4"/>
    </i>
    <i>
      <x v="5"/>
    </i>
    <i>
      <x v="6"/>
    </i>
    <i>
      <x v="7"/>
    </i>
    <i t="grand">
      <x/>
    </i>
  </rowItems>
  <colFields count="1">
    <field x="4"/>
  </colFields>
  <colItems count="2">
    <i>
      <x v="3"/>
    </i>
    <i t="grand">
      <x/>
    </i>
  </colItems>
  <pageFields count="2">
    <pageField fld="3" hier="-1"/>
    <pageField fld="1" hier="-1"/>
  </pageFields>
  <dataFields count="1">
    <dataField name="Sum of plan_revenue_crores" fld="5" baseField="0" baseItem="0"/>
  </dataFields>
  <formats count="1">
    <format dxfId="2">
      <pivotArea type="all" dataOnly="0" outline="0" fieldPosition="0"/>
    </format>
  </formats>
  <chartFormats count="97">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2"/>
          </reference>
        </references>
      </pivotArea>
    </chartFormat>
    <chartFormat chart="0" format="3" series="1">
      <pivotArea type="data" outline="0" fieldPosition="0">
        <references count="2">
          <reference field="4294967294" count="1" selected="0">
            <x v="0"/>
          </reference>
          <reference field="0" count="1" selected="0">
            <x v="3"/>
          </reference>
        </references>
      </pivotArea>
    </chartFormat>
    <chartFormat chart="0" format="4" series="1">
      <pivotArea type="data" outline="0" fieldPosition="0">
        <references count="2">
          <reference field="4294967294" count="1" selected="0">
            <x v="0"/>
          </reference>
          <reference field="0" count="1" selected="0">
            <x v="4"/>
          </reference>
        </references>
      </pivotArea>
    </chartFormat>
    <chartFormat chart="0" format="5" series="1">
      <pivotArea type="data" outline="0" fieldPosition="0">
        <references count="2">
          <reference field="4294967294" count="1" selected="0">
            <x v="0"/>
          </reference>
          <reference field="0" count="1" selected="0">
            <x v="5"/>
          </reference>
        </references>
      </pivotArea>
    </chartFormat>
    <chartFormat chart="0" format="6" series="1">
      <pivotArea type="data" outline="0" fieldPosition="0">
        <references count="2">
          <reference field="4294967294" count="1" selected="0">
            <x v="0"/>
          </reference>
          <reference field="0" count="1" selected="0">
            <x v="6"/>
          </reference>
        </references>
      </pivotArea>
    </chartFormat>
    <chartFormat chart="0" format="7" series="1">
      <pivotArea type="data" outline="0" fieldPosition="0">
        <references count="2">
          <reference field="4294967294" count="1" selected="0">
            <x v="0"/>
          </reference>
          <reference field="0" count="1" selected="0">
            <x v="7"/>
          </reference>
        </references>
      </pivotArea>
    </chartFormat>
    <chartFormat chart="0" format="8" series="1">
      <pivotArea type="data" outline="0" fieldPosition="0">
        <references count="3">
          <reference field="4294967294" count="1" selected="0">
            <x v="0"/>
          </reference>
          <reference field="0" count="1" selected="0">
            <x v="0"/>
          </reference>
          <reference field="3" count="1" selected="0">
            <x v="4"/>
          </reference>
        </references>
      </pivotArea>
    </chartFormat>
    <chartFormat chart="0" format="9" series="1">
      <pivotArea type="data" outline="0" fieldPosition="0">
        <references count="3">
          <reference field="4294967294" count="1" selected="0">
            <x v="0"/>
          </reference>
          <reference field="0" count="1" selected="0">
            <x v="0"/>
          </reference>
          <reference field="3" count="1" selected="0">
            <x v="5"/>
          </reference>
        </references>
      </pivotArea>
    </chartFormat>
    <chartFormat chart="0" format="10" series="1">
      <pivotArea type="data" outline="0" fieldPosition="0">
        <references count="3">
          <reference field="4294967294" count="1" selected="0">
            <x v="0"/>
          </reference>
          <reference field="0" count="1" selected="0">
            <x v="0"/>
          </reference>
          <reference field="3" count="1" selected="0">
            <x v="6"/>
          </reference>
        </references>
      </pivotArea>
    </chartFormat>
    <chartFormat chart="0" format="11" series="1">
      <pivotArea type="data" outline="0" fieldPosition="0">
        <references count="3">
          <reference field="4294967294" count="1" selected="0">
            <x v="0"/>
          </reference>
          <reference field="0" count="1" selected="0">
            <x v="0"/>
          </reference>
          <reference field="3" count="1" selected="0">
            <x v="7"/>
          </reference>
        </references>
      </pivotArea>
    </chartFormat>
    <chartFormat chart="0" format="12" series="1">
      <pivotArea type="data" outline="0" fieldPosition="0">
        <references count="3">
          <reference field="4294967294" count="1" selected="0">
            <x v="0"/>
          </reference>
          <reference field="0" count="1" selected="0">
            <x v="0"/>
          </reference>
          <reference field="3" count="1" selected="0">
            <x v="8"/>
          </reference>
        </references>
      </pivotArea>
    </chartFormat>
    <chartFormat chart="0" format="13" series="1">
      <pivotArea type="data" outline="0" fieldPosition="0">
        <references count="3">
          <reference field="4294967294" count="1" selected="0">
            <x v="0"/>
          </reference>
          <reference field="0" count="1" selected="0">
            <x v="0"/>
          </reference>
          <reference field="3" count="1" selected="0">
            <x v="9"/>
          </reference>
        </references>
      </pivotArea>
    </chartFormat>
    <chartFormat chart="0" format="14" series="1">
      <pivotArea type="data" outline="0" fieldPosition="0">
        <references count="3">
          <reference field="4294967294" count="1" selected="0">
            <x v="0"/>
          </reference>
          <reference field="0" count="1" selected="0">
            <x v="0"/>
          </reference>
          <reference field="3" count="1" selected="0">
            <x v="10"/>
          </reference>
        </references>
      </pivotArea>
    </chartFormat>
    <chartFormat chart="0" format="15" series="1">
      <pivotArea type="data" outline="0" fieldPosition="0">
        <references count="3">
          <reference field="4294967294" count="1" selected="0">
            <x v="0"/>
          </reference>
          <reference field="0" count="1" selected="0">
            <x v="0"/>
          </reference>
          <reference field="3" count="1" selected="0">
            <x v="11"/>
          </reference>
        </references>
      </pivotArea>
    </chartFormat>
    <chartFormat chart="0" format="16" series="1">
      <pivotArea type="data" outline="0" fieldPosition="0">
        <references count="3">
          <reference field="4294967294" count="1" selected="0">
            <x v="0"/>
          </reference>
          <reference field="0" count="1" selected="0">
            <x v="0"/>
          </reference>
          <reference field="3" count="1" selected="0">
            <x v="12"/>
          </reference>
        </references>
      </pivotArea>
    </chartFormat>
    <chartFormat chart="0" format="17" series="1">
      <pivotArea type="data" outline="0" fieldPosition="0">
        <references count="3">
          <reference field="4294967294" count="1" selected="0">
            <x v="0"/>
          </reference>
          <reference field="0" count="1" selected="0">
            <x v="0"/>
          </reference>
          <reference field="3" count="1" selected="0">
            <x v="13"/>
          </reference>
        </references>
      </pivotArea>
    </chartFormat>
    <chartFormat chart="0" format="18" series="1">
      <pivotArea type="data" outline="0" fieldPosition="0">
        <references count="3">
          <reference field="4294967294" count="1" selected="0">
            <x v="0"/>
          </reference>
          <reference field="0" count="1" selected="0">
            <x v="0"/>
          </reference>
          <reference field="3" count="1" selected="0">
            <x v="14"/>
          </reference>
        </references>
      </pivotArea>
    </chartFormat>
    <chartFormat chart="0" format="19" series="1">
      <pivotArea type="data" outline="0" fieldPosition="0">
        <references count="3">
          <reference field="4294967294" count="1" selected="0">
            <x v="0"/>
          </reference>
          <reference field="0" count="1" selected="0">
            <x v="1"/>
          </reference>
          <reference field="3" count="1" selected="0">
            <x v="0"/>
          </reference>
        </references>
      </pivotArea>
    </chartFormat>
    <chartFormat chart="0" format="20" series="1">
      <pivotArea type="data" outline="0" fieldPosition="0">
        <references count="3">
          <reference field="4294967294" count="1" selected="0">
            <x v="0"/>
          </reference>
          <reference field="0" count="1" selected="0">
            <x v="1"/>
          </reference>
          <reference field="3" count="1" selected="0">
            <x v="1"/>
          </reference>
        </references>
      </pivotArea>
    </chartFormat>
    <chartFormat chart="0" format="21" series="1">
      <pivotArea type="data" outline="0" fieldPosition="0">
        <references count="3">
          <reference field="4294967294" count="1" selected="0">
            <x v="0"/>
          </reference>
          <reference field="0" count="1" selected="0">
            <x v="1"/>
          </reference>
          <reference field="3" count="1" selected="0">
            <x v="2"/>
          </reference>
        </references>
      </pivotArea>
    </chartFormat>
    <chartFormat chart="0" format="22" series="1">
      <pivotArea type="data" outline="0" fieldPosition="0">
        <references count="3">
          <reference field="4294967294" count="1" selected="0">
            <x v="0"/>
          </reference>
          <reference field="0" count="1" selected="0">
            <x v="1"/>
          </reference>
          <reference field="3" count="1" selected="0">
            <x v="3"/>
          </reference>
        </references>
      </pivotArea>
    </chartFormat>
    <chartFormat chart="0" format="23" series="1">
      <pivotArea type="data" outline="0" fieldPosition="0">
        <references count="3">
          <reference field="4294967294" count="1" selected="0">
            <x v="0"/>
          </reference>
          <reference field="0" count="1" selected="0">
            <x v="1"/>
          </reference>
          <reference field="3" count="1" selected="0">
            <x v="4"/>
          </reference>
        </references>
      </pivotArea>
    </chartFormat>
    <chartFormat chart="0" format="24" series="1">
      <pivotArea type="data" outline="0" fieldPosition="0">
        <references count="3">
          <reference field="4294967294" count="1" selected="0">
            <x v="0"/>
          </reference>
          <reference field="0" count="1" selected="0">
            <x v="1"/>
          </reference>
          <reference field="3" count="1" selected="0">
            <x v="5"/>
          </reference>
        </references>
      </pivotArea>
    </chartFormat>
    <chartFormat chart="0" format="25" series="1">
      <pivotArea type="data" outline="0" fieldPosition="0">
        <references count="3">
          <reference field="4294967294" count="1" selected="0">
            <x v="0"/>
          </reference>
          <reference field="0" count="1" selected="0">
            <x v="1"/>
          </reference>
          <reference field="3" count="1" selected="0">
            <x v="6"/>
          </reference>
        </references>
      </pivotArea>
    </chartFormat>
    <chartFormat chart="0" format="26" series="1">
      <pivotArea type="data" outline="0" fieldPosition="0">
        <references count="3">
          <reference field="4294967294" count="1" selected="0">
            <x v="0"/>
          </reference>
          <reference field="0" count="1" selected="0">
            <x v="1"/>
          </reference>
          <reference field="3" count="1" selected="0">
            <x v="7"/>
          </reference>
        </references>
      </pivotArea>
    </chartFormat>
    <chartFormat chart="0" format="27" series="1">
      <pivotArea type="data" outline="0" fieldPosition="0">
        <references count="3">
          <reference field="4294967294" count="1" selected="0">
            <x v="0"/>
          </reference>
          <reference field="0" count="1" selected="0">
            <x v="1"/>
          </reference>
          <reference field="3" count="1" selected="0">
            <x v="8"/>
          </reference>
        </references>
      </pivotArea>
    </chartFormat>
    <chartFormat chart="0" format="28" series="1">
      <pivotArea type="data" outline="0" fieldPosition="0">
        <references count="3">
          <reference field="4294967294" count="1" selected="0">
            <x v="0"/>
          </reference>
          <reference field="0" count="1" selected="0">
            <x v="1"/>
          </reference>
          <reference field="3" count="1" selected="0">
            <x v="9"/>
          </reference>
        </references>
      </pivotArea>
    </chartFormat>
    <chartFormat chart="0" format="29" series="1">
      <pivotArea type="data" outline="0" fieldPosition="0">
        <references count="3">
          <reference field="4294967294" count="1" selected="0">
            <x v="0"/>
          </reference>
          <reference field="0" count="1" selected="0">
            <x v="1"/>
          </reference>
          <reference field="3" count="1" selected="0">
            <x v="10"/>
          </reference>
        </references>
      </pivotArea>
    </chartFormat>
    <chartFormat chart="0" format="30" series="1">
      <pivotArea type="data" outline="0" fieldPosition="0">
        <references count="3">
          <reference field="4294967294" count="1" selected="0">
            <x v="0"/>
          </reference>
          <reference field="0" count="1" selected="0">
            <x v="1"/>
          </reference>
          <reference field="3" count="1" selected="0">
            <x v="11"/>
          </reference>
        </references>
      </pivotArea>
    </chartFormat>
    <chartFormat chart="0" format="31" series="1">
      <pivotArea type="data" outline="0" fieldPosition="0">
        <references count="3">
          <reference field="4294967294" count="1" selected="0">
            <x v="0"/>
          </reference>
          <reference field="0" count="1" selected="0">
            <x v="1"/>
          </reference>
          <reference field="3" count="1" selected="0">
            <x v="12"/>
          </reference>
        </references>
      </pivotArea>
    </chartFormat>
    <chartFormat chart="0" format="32" series="1">
      <pivotArea type="data" outline="0" fieldPosition="0">
        <references count="3">
          <reference field="4294967294" count="1" selected="0">
            <x v="0"/>
          </reference>
          <reference field="0" count="1" selected="0">
            <x v="1"/>
          </reference>
          <reference field="3" count="1" selected="0">
            <x v="13"/>
          </reference>
        </references>
      </pivotArea>
    </chartFormat>
    <chartFormat chart="0" format="33" series="1">
      <pivotArea type="data" outline="0" fieldPosition="0">
        <references count="3">
          <reference field="4294967294" count="1" selected="0">
            <x v="0"/>
          </reference>
          <reference field="0" count="1" selected="0">
            <x v="1"/>
          </reference>
          <reference field="3" count="1" selected="0">
            <x v="14"/>
          </reference>
        </references>
      </pivotArea>
    </chartFormat>
    <chartFormat chart="0" format="34" series="1">
      <pivotArea type="data" outline="0" fieldPosition="0">
        <references count="3">
          <reference field="4294967294" count="1" selected="0">
            <x v="0"/>
          </reference>
          <reference field="0" count="1" selected="0">
            <x v="2"/>
          </reference>
          <reference field="3" count="1" selected="0">
            <x v="0"/>
          </reference>
        </references>
      </pivotArea>
    </chartFormat>
    <chartFormat chart="0" format="35" series="1">
      <pivotArea type="data" outline="0" fieldPosition="0">
        <references count="3">
          <reference field="4294967294" count="1" selected="0">
            <x v="0"/>
          </reference>
          <reference field="0" count="1" selected="0">
            <x v="2"/>
          </reference>
          <reference field="3" count="1" selected="0">
            <x v="1"/>
          </reference>
        </references>
      </pivotArea>
    </chartFormat>
    <chartFormat chart="0" format="36" series="1">
      <pivotArea type="data" outline="0" fieldPosition="0">
        <references count="3">
          <reference field="4294967294" count="1" selected="0">
            <x v="0"/>
          </reference>
          <reference field="0" count="1" selected="0">
            <x v="2"/>
          </reference>
          <reference field="3" count="1" selected="0">
            <x v="2"/>
          </reference>
        </references>
      </pivotArea>
    </chartFormat>
    <chartFormat chart="0" format="37" series="1">
      <pivotArea type="data" outline="0" fieldPosition="0">
        <references count="3">
          <reference field="4294967294" count="1" selected="0">
            <x v="0"/>
          </reference>
          <reference field="0" count="1" selected="0">
            <x v="2"/>
          </reference>
          <reference field="3" count="1" selected="0">
            <x v="3"/>
          </reference>
        </references>
      </pivotArea>
    </chartFormat>
    <chartFormat chart="0" format="38" series="1">
      <pivotArea type="data" outline="0" fieldPosition="0">
        <references count="3">
          <reference field="4294967294" count="1" selected="0">
            <x v="0"/>
          </reference>
          <reference field="0" count="1" selected="0">
            <x v="2"/>
          </reference>
          <reference field="3" count="1" selected="0">
            <x v="4"/>
          </reference>
        </references>
      </pivotArea>
    </chartFormat>
    <chartFormat chart="0" format="39" series="1">
      <pivotArea type="data" outline="0" fieldPosition="0">
        <references count="3">
          <reference field="4294967294" count="1" selected="0">
            <x v="0"/>
          </reference>
          <reference field="0" count="1" selected="0">
            <x v="2"/>
          </reference>
          <reference field="3" count="1" selected="0">
            <x v="5"/>
          </reference>
        </references>
      </pivotArea>
    </chartFormat>
    <chartFormat chart="0" format="40" series="1">
      <pivotArea type="data" outline="0" fieldPosition="0">
        <references count="3">
          <reference field="4294967294" count="1" selected="0">
            <x v="0"/>
          </reference>
          <reference field="0" count="1" selected="0">
            <x v="2"/>
          </reference>
          <reference field="3" count="1" selected="0">
            <x v="6"/>
          </reference>
        </references>
      </pivotArea>
    </chartFormat>
    <chartFormat chart="0" format="41" series="1">
      <pivotArea type="data" outline="0" fieldPosition="0">
        <references count="3">
          <reference field="4294967294" count="1" selected="0">
            <x v="0"/>
          </reference>
          <reference field="0" count="1" selected="0">
            <x v="2"/>
          </reference>
          <reference field="3" count="1" selected="0">
            <x v="7"/>
          </reference>
        </references>
      </pivotArea>
    </chartFormat>
    <chartFormat chart="0" format="42" series="1">
      <pivotArea type="data" outline="0" fieldPosition="0">
        <references count="3">
          <reference field="4294967294" count="1" selected="0">
            <x v="0"/>
          </reference>
          <reference field="0" count="1" selected="0">
            <x v="2"/>
          </reference>
          <reference field="3" count="1" selected="0">
            <x v="8"/>
          </reference>
        </references>
      </pivotArea>
    </chartFormat>
    <chartFormat chart="0" format="43" series="1">
      <pivotArea type="data" outline="0" fieldPosition="0">
        <references count="3">
          <reference field="4294967294" count="1" selected="0">
            <x v="0"/>
          </reference>
          <reference field="0" count="1" selected="0">
            <x v="2"/>
          </reference>
          <reference field="3" count="1" selected="0">
            <x v="9"/>
          </reference>
        </references>
      </pivotArea>
    </chartFormat>
    <chartFormat chart="0" format="44" series="1">
      <pivotArea type="data" outline="0" fieldPosition="0">
        <references count="3">
          <reference field="4294967294" count="1" selected="0">
            <x v="0"/>
          </reference>
          <reference field="0" count="1" selected="0">
            <x v="2"/>
          </reference>
          <reference field="3" count="1" selected="0">
            <x v="10"/>
          </reference>
        </references>
      </pivotArea>
    </chartFormat>
    <chartFormat chart="0" format="45" series="1">
      <pivotArea type="data" outline="0" fieldPosition="0">
        <references count="3">
          <reference field="4294967294" count="1" selected="0">
            <x v="0"/>
          </reference>
          <reference field="0" count="1" selected="0">
            <x v="2"/>
          </reference>
          <reference field="3" count="1" selected="0">
            <x v="11"/>
          </reference>
        </references>
      </pivotArea>
    </chartFormat>
    <chartFormat chart="0" format="46" series="1">
      <pivotArea type="data" outline="0" fieldPosition="0">
        <references count="3">
          <reference field="4294967294" count="1" selected="0">
            <x v="0"/>
          </reference>
          <reference field="0" count="1" selected="0">
            <x v="2"/>
          </reference>
          <reference field="3" count="1" selected="0">
            <x v="12"/>
          </reference>
        </references>
      </pivotArea>
    </chartFormat>
    <chartFormat chart="0" format="47" series="1">
      <pivotArea type="data" outline="0" fieldPosition="0">
        <references count="3">
          <reference field="4294967294" count="1" selected="0">
            <x v="0"/>
          </reference>
          <reference field="0" count="1" selected="0">
            <x v="2"/>
          </reference>
          <reference field="3" count="1" selected="0">
            <x v="13"/>
          </reference>
        </references>
      </pivotArea>
    </chartFormat>
    <chartFormat chart="0" format="48" series="1">
      <pivotArea type="data" outline="0" fieldPosition="0">
        <references count="3">
          <reference field="4294967294" count="1" selected="0">
            <x v="0"/>
          </reference>
          <reference field="0" count="1" selected="0">
            <x v="2"/>
          </reference>
          <reference field="3" count="1" selected="0">
            <x v="14"/>
          </reference>
        </references>
      </pivotArea>
    </chartFormat>
    <chartFormat chart="0" format="49" series="1">
      <pivotArea type="data" outline="0" fieldPosition="0">
        <references count="3">
          <reference field="4294967294" count="1" selected="0">
            <x v="0"/>
          </reference>
          <reference field="0" count="1" selected="0">
            <x v="3"/>
          </reference>
          <reference field="3" count="1" selected="0">
            <x v="0"/>
          </reference>
        </references>
      </pivotArea>
    </chartFormat>
    <chartFormat chart="0" format="50" series="1">
      <pivotArea type="data" outline="0" fieldPosition="0">
        <references count="3">
          <reference field="4294967294" count="1" selected="0">
            <x v="0"/>
          </reference>
          <reference field="0" count="1" selected="0">
            <x v="3"/>
          </reference>
          <reference field="3" count="1" selected="0">
            <x v="1"/>
          </reference>
        </references>
      </pivotArea>
    </chartFormat>
    <chartFormat chart="0" format="51" series="1">
      <pivotArea type="data" outline="0" fieldPosition="0">
        <references count="3">
          <reference field="4294967294" count="1" selected="0">
            <x v="0"/>
          </reference>
          <reference field="0" count="1" selected="0">
            <x v="3"/>
          </reference>
          <reference field="3" count="1" selected="0">
            <x v="2"/>
          </reference>
        </references>
      </pivotArea>
    </chartFormat>
    <chartFormat chart="0" format="52" series="1">
      <pivotArea type="data" outline="0" fieldPosition="0">
        <references count="3">
          <reference field="4294967294" count="1" selected="0">
            <x v="0"/>
          </reference>
          <reference field="0" count="1" selected="0">
            <x v="3"/>
          </reference>
          <reference field="3" count="1" selected="0">
            <x v="3"/>
          </reference>
        </references>
      </pivotArea>
    </chartFormat>
    <chartFormat chart="0" format="53" series="1">
      <pivotArea type="data" outline="0" fieldPosition="0">
        <references count="3">
          <reference field="4294967294" count="1" selected="0">
            <x v="0"/>
          </reference>
          <reference field="0" count="1" selected="0">
            <x v="3"/>
          </reference>
          <reference field="3" count="1" selected="0">
            <x v="4"/>
          </reference>
        </references>
      </pivotArea>
    </chartFormat>
    <chartFormat chart="0" format="54" series="1">
      <pivotArea type="data" outline="0" fieldPosition="0">
        <references count="3">
          <reference field="4294967294" count="1" selected="0">
            <x v="0"/>
          </reference>
          <reference field="0" count="1" selected="0">
            <x v="3"/>
          </reference>
          <reference field="3" count="1" selected="0">
            <x v="5"/>
          </reference>
        </references>
      </pivotArea>
    </chartFormat>
    <chartFormat chart="0" format="55" series="1">
      <pivotArea type="data" outline="0" fieldPosition="0">
        <references count="3">
          <reference field="4294967294" count="1" selected="0">
            <x v="0"/>
          </reference>
          <reference field="0" count="1" selected="0">
            <x v="3"/>
          </reference>
          <reference field="3" count="1" selected="0">
            <x v="6"/>
          </reference>
        </references>
      </pivotArea>
    </chartFormat>
    <chartFormat chart="0" format="56" series="1">
      <pivotArea type="data" outline="0" fieldPosition="0">
        <references count="3">
          <reference field="4294967294" count="1" selected="0">
            <x v="0"/>
          </reference>
          <reference field="0" count="1" selected="0">
            <x v="3"/>
          </reference>
          <reference field="3" count="1" selected="0">
            <x v="7"/>
          </reference>
        </references>
      </pivotArea>
    </chartFormat>
    <chartFormat chart="0" format="57" series="1">
      <pivotArea type="data" outline="0" fieldPosition="0">
        <references count="3">
          <reference field="4294967294" count="1" selected="0">
            <x v="0"/>
          </reference>
          <reference field="0" count="1" selected="0">
            <x v="3"/>
          </reference>
          <reference field="3" count="1" selected="0">
            <x v="8"/>
          </reference>
        </references>
      </pivotArea>
    </chartFormat>
    <chartFormat chart="0" format="58" series="1">
      <pivotArea type="data" outline="0" fieldPosition="0">
        <references count="3">
          <reference field="4294967294" count="1" selected="0">
            <x v="0"/>
          </reference>
          <reference field="0" count="1" selected="0">
            <x v="3"/>
          </reference>
          <reference field="3" count="1" selected="0">
            <x v="9"/>
          </reference>
        </references>
      </pivotArea>
    </chartFormat>
    <chartFormat chart="0" format="59" series="1">
      <pivotArea type="data" outline="0" fieldPosition="0">
        <references count="3">
          <reference field="4294967294" count="1" selected="0">
            <x v="0"/>
          </reference>
          <reference field="0" count="1" selected="0">
            <x v="3"/>
          </reference>
          <reference field="3" count="1" selected="0">
            <x v="10"/>
          </reference>
        </references>
      </pivotArea>
    </chartFormat>
    <chartFormat chart="0" format="60" series="1">
      <pivotArea type="data" outline="0" fieldPosition="0">
        <references count="3">
          <reference field="4294967294" count="1" selected="0">
            <x v="0"/>
          </reference>
          <reference field="0" count="1" selected="0">
            <x v="3"/>
          </reference>
          <reference field="3" count="1" selected="0">
            <x v="11"/>
          </reference>
        </references>
      </pivotArea>
    </chartFormat>
    <chartFormat chart="0" format="61" series="1">
      <pivotArea type="data" outline="0" fieldPosition="0">
        <references count="3">
          <reference field="4294967294" count="1" selected="0">
            <x v="0"/>
          </reference>
          <reference field="0" count="1" selected="0">
            <x v="3"/>
          </reference>
          <reference field="3" count="1" selected="0">
            <x v="12"/>
          </reference>
        </references>
      </pivotArea>
    </chartFormat>
    <chartFormat chart="0" format="62" series="1">
      <pivotArea type="data" outline="0" fieldPosition="0">
        <references count="3">
          <reference field="4294967294" count="1" selected="0">
            <x v="0"/>
          </reference>
          <reference field="0" count="1" selected="0">
            <x v="3"/>
          </reference>
          <reference field="3" count="1" selected="0">
            <x v="13"/>
          </reference>
        </references>
      </pivotArea>
    </chartFormat>
    <chartFormat chart="0" format="63" series="1">
      <pivotArea type="data" outline="0" fieldPosition="0">
        <references count="3">
          <reference field="4294967294" count="1" selected="0">
            <x v="0"/>
          </reference>
          <reference field="0" count="1" selected="0">
            <x v="3"/>
          </reference>
          <reference field="3" count="1" selected="0">
            <x v="14"/>
          </reference>
        </references>
      </pivotArea>
    </chartFormat>
    <chartFormat chart="1" format="64" series="1">
      <pivotArea type="data" outline="0" fieldPosition="0">
        <references count="2">
          <reference field="4294967294" count="1" selected="0">
            <x v="0"/>
          </reference>
          <reference field="4" count="1" selected="0">
            <x v="0"/>
          </reference>
        </references>
      </pivotArea>
    </chartFormat>
    <chartFormat chart="1" format="65" series="1">
      <pivotArea type="data" outline="0" fieldPosition="0">
        <references count="2">
          <reference field="4294967294" count="1" selected="0">
            <x v="0"/>
          </reference>
          <reference field="4" count="1" selected="0">
            <x v="2"/>
          </reference>
        </references>
      </pivotArea>
    </chartFormat>
    <chartFormat chart="1" format="66" series="1">
      <pivotArea type="data" outline="0" fieldPosition="0">
        <references count="2">
          <reference field="4294967294" count="1" selected="0">
            <x v="0"/>
          </reference>
          <reference field="4" count="1" selected="0">
            <x v="3"/>
          </reference>
        </references>
      </pivotArea>
    </chartFormat>
    <chartFormat chart="1" format="67" series="1">
      <pivotArea type="data" outline="0" fieldPosition="0">
        <references count="2">
          <reference field="4294967294" count="1" selected="0">
            <x v="0"/>
          </reference>
          <reference field="4" count="1" selected="0">
            <x v="4"/>
          </reference>
        </references>
      </pivotArea>
    </chartFormat>
    <chartFormat chart="1" format="68" series="1">
      <pivotArea type="data" outline="0" fieldPosition="0">
        <references count="2">
          <reference field="4294967294" count="1" selected="0">
            <x v="0"/>
          </reference>
          <reference field="4" count="1" selected="0">
            <x v="5"/>
          </reference>
        </references>
      </pivotArea>
    </chartFormat>
    <chartFormat chart="1" format="69" series="1">
      <pivotArea type="data" outline="0" fieldPosition="0">
        <references count="2">
          <reference field="4294967294" count="1" selected="0">
            <x v="0"/>
          </reference>
          <reference field="4" count="1" selected="0">
            <x v="6"/>
          </reference>
        </references>
      </pivotArea>
    </chartFormat>
    <chartFormat chart="1" format="70" series="1">
      <pivotArea type="data" outline="0" fieldPosition="0">
        <references count="2">
          <reference field="4294967294" count="1" selected="0">
            <x v="0"/>
          </reference>
          <reference field="4" count="1" selected="0">
            <x v="7"/>
          </reference>
        </references>
      </pivotArea>
    </chartFormat>
    <chartFormat chart="1" format="71" series="1">
      <pivotArea type="data" outline="0" fieldPosition="0">
        <references count="2">
          <reference field="4294967294" count="1" selected="0">
            <x v="0"/>
          </reference>
          <reference field="4" count="1" selected="0">
            <x v="8"/>
          </reference>
        </references>
      </pivotArea>
    </chartFormat>
    <chartFormat chart="1" format="72" series="1">
      <pivotArea type="data" outline="0" fieldPosition="0">
        <references count="2">
          <reference field="4294967294" count="1" selected="0">
            <x v="0"/>
          </reference>
          <reference field="4" count="1" selected="0">
            <x v="9"/>
          </reference>
        </references>
      </pivotArea>
    </chartFormat>
    <chartFormat chart="1" format="73" series="1">
      <pivotArea type="data" outline="0" fieldPosition="0">
        <references count="2">
          <reference field="4294967294" count="1" selected="0">
            <x v="0"/>
          </reference>
          <reference field="4" count="1" selected="0">
            <x v="10"/>
          </reference>
        </references>
      </pivotArea>
    </chartFormat>
    <chartFormat chart="2" format="74" series="1">
      <pivotArea type="data" outline="0" fieldPosition="0">
        <references count="2">
          <reference field="4294967294" count="1" selected="0">
            <x v="0"/>
          </reference>
          <reference field="4" count="1" selected="0">
            <x v="0"/>
          </reference>
        </references>
      </pivotArea>
    </chartFormat>
    <chartFormat chart="2" format="75" series="1">
      <pivotArea type="data" outline="0" fieldPosition="0">
        <references count="2">
          <reference field="4294967294" count="1" selected="0">
            <x v="0"/>
          </reference>
          <reference field="4" count="1" selected="0">
            <x v="2"/>
          </reference>
        </references>
      </pivotArea>
    </chartFormat>
    <chartFormat chart="2" format="76" series="1">
      <pivotArea type="data" outline="0" fieldPosition="0">
        <references count="2">
          <reference field="4294967294" count="1" selected="0">
            <x v="0"/>
          </reference>
          <reference field="4" count="1" selected="0">
            <x v="3"/>
          </reference>
        </references>
      </pivotArea>
    </chartFormat>
    <chartFormat chart="2" format="77" series="1">
      <pivotArea type="data" outline="0" fieldPosition="0">
        <references count="2">
          <reference field="4294967294" count="1" selected="0">
            <x v="0"/>
          </reference>
          <reference field="4" count="1" selected="0">
            <x v="4"/>
          </reference>
        </references>
      </pivotArea>
    </chartFormat>
    <chartFormat chart="2" format="78" series="1">
      <pivotArea type="data" outline="0" fieldPosition="0">
        <references count="2">
          <reference field="4294967294" count="1" selected="0">
            <x v="0"/>
          </reference>
          <reference field="4" count="1" selected="0">
            <x v="5"/>
          </reference>
        </references>
      </pivotArea>
    </chartFormat>
    <chartFormat chart="2" format="79" series="1">
      <pivotArea type="data" outline="0" fieldPosition="0">
        <references count="2">
          <reference field="4294967294" count="1" selected="0">
            <x v="0"/>
          </reference>
          <reference field="4" count="1" selected="0">
            <x v="6"/>
          </reference>
        </references>
      </pivotArea>
    </chartFormat>
    <chartFormat chart="2" format="80" series="1">
      <pivotArea type="data" outline="0" fieldPosition="0">
        <references count="2">
          <reference field="4294967294" count="1" selected="0">
            <x v="0"/>
          </reference>
          <reference field="4" count="1" selected="0">
            <x v="7"/>
          </reference>
        </references>
      </pivotArea>
    </chartFormat>
    <chartFormat chart="2" format="81" series="1">
      <pivotArea type="data" outline="0" fieldPosition="0">
        <references count="2">
          <reference field="4294967294" count="1" selected="0">
            <x v="0"/>
          </reference>
          <reference field="4" count="1" selected="0">
            <x v="8"/>
          </reference>
        </references>
      </pivotArea>
    </chartFormat>
    <chartFormat chart="2" format="82" series="1">
      <pivotArea type="data" outline="0" fieldPosition="0">
        <references count="2">
          <reference field="4294967294" count="1" selected="0">
            <x v="0"/>
          </reference>
          <reference field="4" count="1" selected="0">
            <x v="9"/>
          </reference>
        </references>
      </pivotArea>
    </chartFormat>
    <chartFormat chart="2" format="83" series="1">
      <pivotArea type="data" outline="0" fieldPosition="0">
        <references count="2">
          <reference field="4294967294" count="1" selected="0">
            <x v="0"/>
          </reference>
          <reference field="4" count="1" selected="0">
            <x v="10"/>
          </reference>
        </references>
      </pivotArea>
    </chartFormat>
    <chartFormat chart="1" format="74" series="1">
      <pivotArea type="data" outline="0" fieldPosition="0">
        <references count="2">
          <reference field="4294967294" count="1" selected="0">
            <x v="0"/>
          </reference>
          <reference field="4" count="1" selected="0">
            <x v="11"/>
          </reference>
        </references>
      </pivotArea>
    </chartFormat>
    <chartFormat chart="1" format="75" series="1">
      <pivotArea type="data" outline="0" fieldPosition="0">
        <references count="2">
          <reference field="4294967294" count="1" selected="0">
            <x v="0"/>
          </reference>
          <reference field="4" count="1" selected="0">
            <x v="12"/>
          </reference>
        </references>
      </pivotArea>
    </chartFormat>
    <chartFormat chart="1" format="76" series="1">
      <pivotArea type="data" outline="0" fieldPosition="0">
        <references count="2">
          <reference field="4294967294" count="1" selected="0">
            <x v="0"/>
          </reference>
          <reference field="4" count="1" selected="0">
            <x v="1"/>
          </reference>
        </references>
      </pivotArea>
    </chartFormat>
    <chartFormat chart="1" format="77" series="1">
      <pivotArea type="data" outline="0" fieldPosition="0">
        <references count="1">
          <reference field="4294967294" count="1" selected="0">
            <x v="0"/>
          </reference>
        </references>
      </pivotArea>
    </chartFormat>
    <chartFormat chart="0" format="64" series="1">
      <pivotArea type="data" outline="0" fieldPosition="0">
        <references count="2">
          <reference field="4294967294" count="1" selected="0">
            <x v="0"/>
          </reference>
          <reference field="4" count="1" selected="0">
            <x v="5"/>
          </reference>
        </references>
      </pivotArea>
    </chartFormat>
    <chartFormat chart="2" format="84" series="1">
      <pivotArea type="data" outline="0" fieldPosition="0">
        <references count="2">
          <reference field="4294967294" count="1" selected="0">
            <x v="0"/>
          </reference>
          <reference field="4" count="1" selected="0">
            <x v="1"/>
          </reference>
        </references>
      </pivotArea>
    </chartFormat>
    <chartFormat chart="2" format="85" series="1">
      <pivotArea type="data" outline="0" fieldPosition="0">
        <references count="2">
          <reference field="4294967294" count="1" selected="0">
            <x v="0"/>
          </reference>
          <reference field="4" count="1" selected="0">
            <x v="11"/>
          </reference>
        </references>
      </pivotArea>
    </chartFormat>
    <chartFormat chart="2" format="86" series="1">
      <pivotArea type="data" outline="0" fieldPosition="0">
        <references count="2">
          <reference field="4294967294" count="1" selected="0">
            <x v="0"/>
          </reference>
          <reference field="4" count="1" selected="0">
            <x v="12"/>
          </reference>
        </references>
      </pivotArea>
    </chartFormat>
    <chartFormat chart="0" format="77" series="1">
      <pivotArea type="data" outline="0" fieldPosition="0">
        <references count="2">
          <reference field="4294967294" count="1" selected="0">
            <x v="0"/>
          </reference>
          <reference field="4" count="1" selected="0">
            <x v="7"/>
          </reference>
        </references>
      </pivotArea>
    </chartFormat>
    <chartFormat chart="0" format="78" series="1">
      <pivotArea type="data" outline="0" fieldPosition="0">
        <references count="2">
          <reference field="4294967294" count="1" selected="0">
            <x v="0"/>
          </reference>
          <reference field="4" count="1" selected="0">
            <x v="8"/>
          </reference>
        </references>
      </pivotArea>
    </chartFormat>
    <chartFormat chart="0" format="79" series="1">
      <pivotArea type="data" outline="0" fieldPosition="0">
        <references count="2">
          <reference field="4294967294" count="1" selected="0">
            <x v="0"/>
          </reference>
          <reference field="4" count="1" selected="0">
            <x v="3"/>
          </reference>
        </references>
      </pivotArea>
    </chartFormat>
    <chartFormat chart="0" format="80" series="1">
      <pivotArea type="data" outline="0" fieldPosition="0">
        <references count="1">
          <reference field="4294967294" count="1" selected="0">
            <x v="0"/>
          </reference>
        </references>
      </pivotArea>
    </chartFormat>
    <chartFormat chart="2" format="8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B00-000001000000}" name="PivotTable2" cacheId="11966"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1:C18" firstHeaderRow="1" firstDataRow="1" firstDataCol="0"/>
  <pivotFields count="6">
    <pivotField numFmtId="15" showAll="0"/>
    <pivotField showAll="0"/>
    <pivotField showAll="0"/>
    <pivotField showAll="0"/>
    <pivotField showAll="0"/>
    <pivotField showAll="0"/>
  </pivotFields>
  <formats count="1">
    <format dxfId="1">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ivotTable1" cacheId="11966" applyNumberFormats="0" applyBorderFormats="0" applyFontFormats="0" applyPatternFormats="0" applyAlignmentFormats="0" applyWidthHeightFormats="1" dataCaption="Values" updatedVersion="8" minRefreshableVersion="3" useAutoFormatting="1" itemPrintTitles="1" createdVersion="4" indent="0" outline="1" outlineData="1" multipleFieldFilters="0" chartFormat="3">
  <location ref="V6:X21" firstHeaderRow="1" firstDataRow="2" firstDataCol="1" rowPageCount="2" colPageCount="1"/>
  <pivotFields count="6">
    <pivotField axis="axisPage" numFmtId="15" showAll="0">
      <items count="9">
        <item x="0"/>
        <item x="1"/>
        <item x="2"/>
        <item x="3"/>
        <item x="4"/>
        <item x="5"/>
        <item x="6"/>
        <item x="7"/>
        <item t="default"/>
      </items>
      <extLst>
        <ext xmlns:x14="http://schemas.microsoft.com/office/spreadsheetml/2009/9/main" uri="{2946ED86-A175-432a-8AC1-64E0C546D7DE}">
          <x14:pivotField fillDownLabels="1"/>
        </ext>
      </extLst>
    </pivotField>
    <pivotField axis="axisPage" showAll="0">
      <items count="3">
        <item x="1"/>
        <item x="0"/>
        <item t="default"/>
      </items>
    </pivotField>
    <pivotField showAll="0"/>
    <pivotField axis="axisCol" showAll="0" includeNewItemsInFilter="1">
      <items count="16">
        <item h="1" x="7"/>
        <item h="1" x="3"/>
        <item h="1" x="12"/>
        <item h="1" x="4"/>
        <item x="11"/>
        <item h="1" x="1"/>
        <item h="1" x="13"/>
        <item h="1" x="5"/>
        <item h="1" x="8"/>
        <item h="1" x="2"/>
        <item h="1" x="9"/>
        <item h="1" x="0"/>
        <item h="1" x="10"/>
        <item h="1" x="6"/>
        <item h="1" x="14"/>
        <item t="default"/>
      </items>
    </pivotField>
    <pivotField axis="axisRow" showAll="0">
      <items count="14">
        <item x="0"/>
        <item x="9"/>
        <item x="10"/>
        <item x="11"/>
        <item x="12"/>
        <item x="1"/>
        <item x="2"/>
        <item x="3"/>
        <item x="4"/>
        <item x="5"/>
        <item x="6"/>
        <item x="7"/>
        <item x="8"/>
        <item t="default"/>
      </items>
    </pivotField>
    <pivotField dataField="1" showAll="0"/>
  </pivotFields>
  <rowFields count="1">
    <field x="4"/>
  </rowFields>
  <rowItems count="14">
    <i>
      <x/>
    </i>
    <i>
      <x v="1"/>
    </i>
    <i>
      <x v="2"/>
    </i>
    <i>
      <x v="3"/>
    </i>
    <i>
      <x v="4"/>
    </i>
    <i>
      <x v="5"/>
    </i>
    <i>
      <x v="6"/>
    </i>
    <i>
      <x v="7"/>
    </i>
    <i>
      <x v="8"/>
    </i>
    <i>
      <x v="9"/>
    </i>
    <i>
      <x v="10"/>
    </i>
    <i>
      <x v="11"/>
    </i>
    <i>
      <x v="12"/>
    </i>
    <i t="grand">
      <x/>
    </i>
  </rowItems>
  <colFields count="1">
    <field x="3"/>
  </colFields>
  <colItems count="2">
    <i>
      <x v="4"/>
    </i>
    <i t="grand">
      <x/>
    </i>
  </colItems>
  <pageFields count="2">
    <pageField fld="1" hier="-1"/>
    <pageField fld="0" hier="-1"/>
  </pageFields>
  <dataFields count="1">
    <dataField name="Sum of plan_revenue_crores" fld="5" baseField="0" baseItem="0"/>
  </dataFields>
  <formats count="1">
    <format dxfId="0">
      <pivotArea type="all" dataOnly="0" outline="0" fieldPosition="0"/>
    </format>
  </formats>
  <chartFormats count="28">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2">
          <reference field="4294967294" count="1" selected="0">
            <x v="0"/>
          </reference>
          <reference field="3" count="1" selected="0">
            <x v="4"/>
          </reference>
        </references>
      </pivotArea>
    </chartFormat>
    <chartFormat chart="0" format="5" series="1">
      <pivotArea type="data" outline="0" fieldPosition="0">
        <references count="2">
          <reference field="4294967294" count="1" selected="0">
            <x v="0"/>
          </reference>
          <reference field="3" count="1" selected="0">
            <x v="5"/>
          </reference>
        </references>
      </pivotArea>
    </chartFormat>
    <chartFormat chart="0" format="6" series="1">
      <pivotArea type="data" outline="0" fieldPosition="0">
        <references count="2">
          <reference field="4294967294" count="1" selected="0">
            <x v="0"/>
          </reference>
          <reference field="3" count="1" selected="0">
            <x v="6"/>
          </reference>
        </references>
      </pivotArea>
    </chartFormat>
    <chartFormat chart="0" format="7" series="1">
      <pivotArea type="data" outline="0" fieldPosition="0">
        <references count="2">
          <reference field="4294967294" count="1" selected="0">
            <x v="0"/>
          </reference>
          <reference field="3" count="1" selected="0">
            <x v="7"/>
          </reference>
        </references>
      </pivotArea>
    </chartFormat>
    <chartFormat chart="0" format="8" series="1">
      <pivotArea type="data" outline="0" fieldPosition="0">
        <references count="2">
          <reference field="4294967294" count="1" selected="0">
            <x v="0"/>
          </reference>
          <reference field="3" count="1" selected="0">
            <x v="8"/>
          </reference>
        </references>
      </pivotArea>
    </chartFormat>
    <chartFormat chart="0" format="9" series="1">
      <pivotArea type="data" outline="0" fieldPosition="0">
        <references count="2">
          <reference field="4294967294" count="1" selected="0">
            <x v="0"/>
          </reference>
          <reference field="3" count="1" selected="0">
            <x v="9"/>
          </reference>
        </references>
      </pivotArea>
    </chartFormat>
    <chartFormat chart="0" format="10" series="1">
      <pivotArea type="data" outline="0" fieldPosition="0">
        <references count="2">
          <reference field="4294967294" count="1" selected="0">
            <x v="0"/>
          </reference>
          <reference field="3" count="1" selected="0">
            <x v="10"/>
          </reference>
        </references>
      </pivotArea>
    </chartFormat>
    <chartFormat chart="0" format="11" series="1">
      <pivotArea type="data" outline="0" fieldPosition="0">
        <references count="2">
          <reference field="4294967294" count="1" selected="0">
            <x v="0"/>
          </reference>
          <reference field="3" count="1" selected="0">
            <x v="11"/>
          </reference>
        </references>
      </pivotArea>
    </chartFormat>
    <chartFormat chart="0" format="12" series="1">
      <pivotArea type="data" outline="0" fieldPosition="0">
        <references count="2">
          <reference field="4294967294" count="1" selected="0">
            <x v="0"/>
          </reference>
          <reference field="3" count="1" selected="0">
            <x v="12"/>
          </reference>
        </references>
      </pivotArea>
    </chartFormat>
    <chartFormat chart="0" format="13" series="1">
      <pivotArea type="data" outline="0" fieldPosition="0">
        <references count="2">
          <reference field="4294967294" count="1" selected="0">
            <x v="0"/>
          </reference>
          <reference field="3" count="1" selected="0">
            <x v="13"/>
          </reference>
        </references>
      </pivotArea>
    </chartFormat>
    <chartFormat chart="0" format="14" series="1">
      <pivotArea type="data" outline="0" fieldPosition="0">
        <references count="2">
          <reference field="4294967294" count="1" selected="0">
            <x v="0"/>
          </reference>
          <reference field="3" count="1" selected="0">
            <x v="14"/>
          </reference>
        </references>
      </pivotArea>
    </chartFormat>
    <chartFormat chart="1" format="15" series="1">
      <pivotArea type="data" outline="0" fieldPosition="0">
        <references count="2">
          <reference field="4294967294" count="1" selected="0">
            <x v="0"/>
          </reference>
          <reference field="3" count="1" selected="0">
            <x v="5"/>
          </reference>
        </references>
      </pivotArea>
    </chartFormat>
    <chartFormat chart="2" format="16" series="1">
      <pivotArea type="data" outline="0" fieldPosition="0">
        <references count="2">
          <reference field="4294967294" count="1" selected="0">
            <x v="0"/>
          </reference>
          <reference field="3" count="1" selected="0">
            <x v="5"/>
          </reference>
        </references>
      </pivotArea>
    </chartFormat>
    <chartFormat chart="2" format="17" series="1">
      <pivotArea type="data" outline="0" fieldPosition="0">
        <references count="2">
          <reference field="4294967294" count="1" selected="0">
            <x v="0"/>
          </reference>
          <reference field="3" count="1" selected="0">
            <x v="3"/>
          </reference>
        </references>
      </pivotArea>
    </chartFormat>
    <chartFormat chart="1" format="16" series="1">
      <pivotArea type="data" outline="0" fieldPosition="0">
        <references count="2">
          <reference field="4294967294" count="1" selected="0">
            <x v="0"/>
          </reference>
          <reference field="3" count="1" selected="0">
            <x v="3"/>
          </reference>
        </references>
      </pivotArea>
    </chartFormat>
    <chartFormat chart="2" format="18" series="1">
      <pivotArea type="data" outline="0" fieldPosition="0">
        <references count="2">
          <reference field="4294967294" count="1" selected="0">
            <x v="0"/>
          </reference>
          <reference field="3" count="1" selected="0">
            <x v="2"/>
          </reference>
        </references>
      </pivotArea>
    </chartFormat>
    <chartFormat chart="1" format="17" series="1">
      <pivotArea type="data" outline="0" fieldPosition="0">
        <references count="2">
          <reference field="4294967294" count="1" selected="0">
            <x v="0"/>
          </reference>
          <reference field="3" count="1" selected="0">
            <x v="2"/>
          </reference>
        </references>
      </pivotArea>
    </chartFormat>
    <chartFormat chart="2" format="19" series="1">
      <pivotArea type="data" outline="0" fieldPosition="0">
        <references count="1">
          <reference field="4294967294" count="1" selected="0">
            <x v="0"/>
          </reference>
        </references>
      </pivotArea>
    </chartFormat>
    <chartFormat chart="1" format="18" series="1">
      <pivotArea type="data" outline="0" fieldPosition="0">
        <references count="1">
          <reference field="4294967294" count="1" selected="0">
            <x v="0"/>
          </reference>
        </references>
      </pivotArea>
    </chartFormat>
    <chartFormat chart="0" format="15" series="1">
      <pivotArea type="data" outline="0" fieldPosition="0">
        <references count="1">
          <reference field="4294967294" count="1" selected="0">
            <x v="0"/>
          </reference>
        </references>
      </pivotArea>
    </chartFormat>
    <chartFormat chart="2" format="20" series="1">
      <pivotArea type="data" outline="0" fieldPosition="0">
        <references count="2">
          <reference field="4294967294" count="1" selected="0">
            <x v="0"/>
          </reference>
          <reference field="3" count="1" selected="0">
            <x v="0"/>
          </reference>
        </references>
      </pivotArea>
    </chartFormat>
    <chartFormat chart="2" format="21" series="1">
      <pivotArea type="data" outline="0" fieldPosition="0">
        <references count="2">
          <reference field="4294967294" count="1" selected="0">
            <x v="0"/>
          </reference>
          <reference field="3" count="1" selected="0">
            <x v="4"/>
          </reference>
        </references>
      </pivotArea>
    </chartFormat>
    <chartFormat chart="2" format="22" series="1">
      <pivotArea type="data" outline="0" fieldPosition="0">
        <references count="2">
          <reference field="4294967294" count="1" selected="0">
            <x v="0"/>
          </reference>
          <reference field="3" count="1" selected="0">
            <x v="6"/>
          </reference>
        </references>
      </pivotArea>
    </chartFormat>
    <chartFormat chart="2" format="23" series="1">
      <pivotArea type="data" outline="0" fieldPosition="0">
        <references count="2">
          <reference field="4294967294" count="1" selected="0">
            <x v="0"/>
          </reference>
          <reference field="3"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im_date" connectionId="1" xr16:uid="{00000000-0016-0000-0000-000000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im_plan" connectionId="4" xr16:uid="{00000000-0016-0000-0100-000001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im_date" connectionId="2" xr16:uid="{00000000-0016-0000-0300-000002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im_date" connectionId="3" xr16:uid="{00000000-0016-0000-0400-000003000000}"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fact_plan_revenue" connectionId="5" xr16:uid="{00000000-0016-0000-0400-000004000000}" autoFormatId="16" applyNumberFormats="0" applyBorderFormats="0" applyFontFormats="1" applyPatternFormats="1" applyAlignmentFormats="0" applyWidthHeightFormats="0"/>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00000000-0013-0000-FFFF-FFFF01000000}" sourceName="date">
  <pivotTables>
    <pivotTable tabId="8" name="PivotTable2"/>
    <pivotTable tabId="8" name="PivotTable4"/>
    <pivotTable tabId="8" name="PivotTable6"/>
    <pivotTable tabId="8" name="PivotTable7"/>
    <pivotTable tabId="8" name="PivotTable3"/>
    <pivotTable tabId="8" name="PivotTable5"/>
    <pivotTable tabId="8" name="PivotTable1"/>
    <pivotTable tabId="8" name="PivotTable10"/>
  </pivotTables>
  <data>
    <tabular pivotCacheId="1">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5g" xr10:uid="{00000000-0013-0000-FFFF-FFFF02000000}" sourceName="5g">
  <pivotTables>
    <pivotTable tabId="8" name="PivotTable2"/>
    <pivotTable tabId="8" name="PivotTable4"/>
    <pivotTable tabId="8" name="PivotTable6"/>
    <pivotTable tabId="8" name="PivotTable7"/>
    <pivotTable tabId="8" name="PivotTable3"/>
    <pivotTable tabId="8" name="PivotTable5"/>
    <pivotTable tabId="8" name="PivotTable1"/>
  </pivotTables>
  <data>
    <tabular pivotCacheId="1">
      <items count="2">
        <i x="1" s="1"/>
        <i x="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00000000-0013-0000-FFFF-FFFF03000000}" sourceName="CITY">
  <pivotTables>
    <pivotTable tabId="8" name="PivotTable2"/>
    <pivotTable tabId="8" name="PivotTable4"/>
    <pivotTable tabId="8" name="PivotTable6"/>
    <pivotTable tabId="8" name="PivotTable7"/>
    <pivotTable tabId="8" name="PivotTable10"/>
    <pivotTable tabId="8" name="PivotTable13"/>
    <pivotTable tabId="8" name="PivotTable14"/>
    <pivotTable tabId="8" name="PivotTable15"/>
    <pivotTable tabId="8" name="PivotTable3"/>
    <pivotTable tabId="8" name="PivotTable5"/>
    <pivotTable tabId="8" name="PivotTable1"/>
    <pivotTable tabId="8" name="PivotTable8"/>
    <pivotTable tabId="8" name="PivotTable9"/>
  </pivotTables>
  <data>
    <tabular pivotCacheId="1">
      <items count="15">
        <i x="7"/>
        <i x="3"/>
        <i x="12"/>
        <i x="4" s="1"/>
        <i x="11"/>
        <i x="1"/>
        <i x="13"/>
        <i x="5"/>
        <i x="8"/>
        <i x="2"/>
        <i x="9"/>
        <i x="0"/>
        <i x="10"/>
        <i x="6"/>
        <i x="14"/>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1" xr10:uid="{00000000-0013-0000-FFFF-FFFF04000000}" sourceName="CITY">
  <pivotTables>
    <pivotTable tabId="9" name="PivotTable17"/>
    <pivotTable tabId="9" name="PivotTable18"/>
  </pivotTables>
  <data>
    <tabular pivotCacheId="2">
      <items count="15">
        <i x="7"/>
        <i x="3"/>
        <i x="12"/>
        <i x="4"/>
        <i x="11"/>
        <i x="1"/>
        <i x="13"/>
        <i x="5" s="1"/>
        <i x="8"/>
        <i x="2"/>
        <i x="9"/>
        <i x="0"/>
        <i x="10"/>
        <i x="6"/>
        <i x="14"/>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1" xr10:uid="{00000000-0013-0000-FFFF-FFFF05000000}" sourceName="date">
  <pivotTables>
    <pivotTable tabId="9" name="PivotTable17"/>
    <pivotTable tabId="9" name="PivotTable18"/>
  </pivotTables>
  <data>
    <tabular pivotCacheId="2">
      <items count="8">
        <i x="0" s="1"/>
        <i x="1" s="1"/>
        <i x="2" s="1"/>
        <i x="3" s="1"/>
        <i x="4" s="1"/>
        <i x="5" s="1"/>
        <i x="6" s="1"/>
        <i x="7"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2" xr10:uid="{00000000-0013-0000-FFFF-FFFF06000000}" sourceName="date">
  <pivotTables>
    <pivotTable tabId="13" name="PivotTable1"/>
    <pivotTable tabId="13" name="PivotTable3"/>
  </pivotTables>
  <data>
    <tabular pivotCacheId="5">
      <items count="8">
        <i x="0" s="1"/>
        <i x="1" s="1"/>
        <i x="2" s="1"/>
        <i x="3" s="1"/>
        <i x="4" s="1"/>
        <i x="5" s="1"/>
        <i x="6" s="1"/>
        <i x="7"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5G1" xr10:uid="{00000000-0013-0000-FFFF-FFFF07000000}" sourceName="5G">
  <pivotTables>
    <pivotTable tabId="13" name="PivotTable1"/>
    <pivotTable tabId="13" name="PivotTable3"/>
  </pivotTables>
  <data>
    <tabular pivotCacheId="5">
      <items count="2">
        <i x="1" s="1"/>
        <i x="0"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2" xr10:uid="{00000000-0013-0000-FFFF-FFFF08000000}" sourceName="CITY">
  <pivotTables>
    <pivotTable tabId="13" name="PivotTable1"/>
    <pivotTable tabId="13" name="PivotTable3"/>
  </pivotTables>
  <data>
    <tabular pivotCacheId="5">
      <items count="15">
        <i x="7"/>
        <i x="3"/>
        <i x="12"/>
        <i x="4"/>
        <i x="11" s="1"/>
        <i x="1"/>
        <i x="13"/>
        <i x="5"/>
        <i x="8"/>
        <i x="2"/>
        <i x="9"/>
        <i x="0"/>
        <i x="10"/>
        <i x="6"/>
        <i x="14"/>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ns" xr10:uid="{00000000-0013-0000-FFFF-FFFF09000000}" sourceName="plans">
  <pivotTables>
    <pivotTable tabId="13" name="PivotTable3"/>
  </pivotTables>
  <data>
    <tabular pivotCacheId="5">
      <items count="13">
        <i x="0"/>
        <i x="9"/>
        <i x="10"/>
        <i x="11" s="1"/>
        <i x="12"/>
        <i x="1"/>
        <i x="2"/>
        <i x="3"/>
        <i x="4"/>
        <i x="5"/>
        <i x="6"/>
        <i x="7"/>
        <i x="8"/>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00000000-0014-0000-FFFF-FFFF01000000}" cache="Slicer_date" caption="date" rowHeight="241300"/>
  <slicer name="5g" xr10:uid="{00000000-0014-0000-FFFF-FFFF02000000}" cache="Slicer_5g" caption="5g" rowHeight="241300"/>
  <slicer name="CITY" xr10:uid="{00000000-0014-0000-FFFF-FFFF03000000}" cache="Slicer_CITY" caption="CITY" startItem="7"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1" xr10:uid="{00000000-0014-0000-FFFF-FFFF04000000}" cache="Slicer_CITY1" caption="CITY" rowHeight="241300"/>
  <slicer name="date 1" xr10:uid="{00000000-0014-0000-FFFF-FFFF05000000}" cache="Slicer_date1" caption="date"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3" xr10:uid="{00000000-0014-0000-FFFF-FFFF06000000}" cache="Slicer_date" caption="date" rowHeight="241300"/>
  <slicer name="5g 2" xr10:uid="{00000000-0014-0000-FFFF-FFFF07000000}" cache="Slicer_5g" caption="5g" rowHeight="241300"/>
  <slicer name="CITY 3" xr10:uid="{00000000-0014-0000-FFFF-FFFF08000000}" cache="Slicer_CITY" caption="CITY"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4" xr10:uid="{00000000-0014-0000-FFFF-FFFF09000000}" cache="Slicer_CITY1" caption="CITY" rowHeight="241300"/>
  <slicer name="date 4" xr10:uid="{00000000-0014-0000-FFFF-FFFF0A000000}" cache="Slicer_date1" caption="date"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2" xr10:uid="{00000000-0014-0000-FFFF-FFFF0B000000}" cache="Slicer_date2" caption="date" rowHeight="241300"/>
  <slicer name="5G 1" xr10:uid="{00000000-0014-0000-FFFF-FFFF0C000000}" cache="Slicer_5G1" caption="5G" startItem="1" rowHeight="241300"/>
  <slicer name="CITY 2" xr10:uid="{00000000-0014-0000-FFFF-FFFF0D000000}" cache="Slicer_CITY2" caption="CITY" rowHeight="241300"/>
  <slicer name="plans" xr10:uid="{00000000-0014-0000-FFFF-FFFF0E000000}" cache="Slicer_plans" caption="plans"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X1048576" totalsRowShown="0">
  <autoFilter ref="A1:X1048576" xr:uid="{00000000-0009-0000-0100-000001000000}"/>
  <tableColumns count="24">
    <tableColumn id="1" xr3:uid="{00000000-0010-0000-0000-000001000000}" name="date"/>
    <tableColumn id="2" xr3:uid="{00000000-0010-0000-0000-000002000000}" name="5g"/>
    <tableColumn id="3" xr3:uid="{00000000-0010-0000-0000-000003000000}" name="city_code"/>
    <tableColumn id="4" xr3:uid="{00000000-0010-0000-0000-000004000000}" name="CITY"/>
    <tableColumn id="5" xr3:uid="{00000000-0010-0000-0000-000005000000}" name="company"/>
    <tableColumn id="6" xr3:uid="{00000000-0010-0000-0000-000006000000}" name="atliqo_revenue_crores"/>
    <tableColumn id="7" xr3:uid="{00000000-0010-0000-0000-000007000000}" name="arpu"/>
    <tableColumn id="8" xr3:uid="{00000000-0010-0000-0000-000008000000}" name="active_users_lakhs"/>
    <tableColumn id="9" xr3:uid="{00000000-0010-0000-0000-000009000000}" name="unsubscribed_users_lakhs"/>
    <tableColumn id="10" xr3:uid="{00000000-0010-0000-0000-00000A000000}" name="Column1"/>
    <tableColumn id="11" xr3:uid="{00000000-0010-0000-0000-00000B000000}" name="Column2"/>
    <tableColumn id="12" xr3:uid="{00000000-0010-0000-0000-00000C000000}" name="Column3"/>
    <tableColumn id="13" xr3:uid="{00000000-0010-0000-0000-00000D000000}" name="Column4"/>
    <tableColumn id="14" xr3:uid="{00000000-0010-0000-0000-00000E000000}" name="Column5"/>
    <tableColumn id="15" xr3:uid="{00000000-0010-0000-0000-00000F000000}" name="Column6"/>
    <tableColumn id="16" xr3:uid="{00000000-0010-0000-0000-000010000000}" name="Column7"/>
    <tableColumn id="17" xr3:uid="{00000000-0010-0000-0000-000011000000}" name="city_code2"/>
    <tableColumn id="18" xr3:uid="{00000000-0010-0000-0000-000012000000}" name="city_name"/>
    <tableColumn id="19" xr3:uid="{00000000-0010-0000-0000-000013000000}" name="Column8"/>
    <tableColumn id="20" xr3:uid="{00000000-0010-0000-0000-000014000000}" name="Column9"/>
    <tableColumn id="21" xr3:uid="{00000000-0010-0000-0000-000015000000}" name="Column10"/>
    <tableColumn id="22" xr3:uid="{00000000-0010-0000-0000-000016000000}" name="Column11"/>
    <tableColumn id="23" xr3:uid="{00000000-0010-0000-0000-000017000000}" name="Column12"/>
    <tableColumn id="24" xr3:uid="{00000000-0010-0000-0000-000018000000}" name="Column1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G1048576" totalsRowShown="0">
  <autoFilter ref="A1:G1048576" xr:uid="{00000000-0009-0000-0100-000002000000}"/>
  <tableColumns count="7">
    <tableColumn id="1" xr3:uid="{00000000-0010-0000-0100-000001000000}" name="date"/>
    <tableColumn id="2" xr3:uid="{00000000-0010-0000-0100-000002000000}" name="5G"/>
    <tableColumn id="3" xr3:uid="{00000000-0010-0000-0100-000003000000}" name="city_code"/>
    <tableColumn id="4" xr3:uid="{00000000-0010-0000-0100-000004000000}" name="CITY"/>
    <tableColumn id="5" xr3:uid="{00000000-0010-0000-0100-000005000000}" name="tmv_city_crores"/>
    <tableColumn id="6" xr3:uid="{00000000-0010-0000-0100-000006000000}" name="company"/>
    <tableColumn id="7" xr3:uid="{00000000-0010-0000-0100-000007000000}" name="ms_pc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2.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queryTable" Target="../queryTables/queryTable4.xml"/></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microsoft.com/office/2007/relationships/slicer" Target="../slicers/slicer1.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15.xml"/><Relationship Id="rId1" Type="http://schemas.openxmlformats.org/officeDocument/2006/relationships/pivotTable" Target="../pivotTables/pivotTable14.xml"/><Relationship Id="rId4" Type="http://schemas.microsoft.com/office/2007/relationships/slicer" Target="../slicers/slicer2.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6.xml"/></Relationships>
</file>

<file path=xl/worksheets/_rels/sheet10.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11.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9.xml"/><Relationship Id="rId2" Type="http://schemas.openxmlformats.org/officeDocument/2006/relationships/pivotTable" Target="../pivotTables/pivotTable18.xml"/><Relationship Id="rId1" Type="http://schemas.openxmlformats.org/officeDocument/2006/relationships/pivotTable" Target="../pivotTables/pivotTable17.xml"/><Relationship Id="rId5" Type="http://schemas.microsoft.com/office/2007/relationships/slicer" Target="../slicers/slicer5.xml"/><Relationship Id="rId4"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9"/>
  <sheetViews>
    <sheetView workbookViewId="0">
      <selection sqref="A1:D9"/>
    </sheetView>
  </sheetViews>
  <sheetFormatPr defaultRowHeight="15"/>
  <cols>
    <col min="1" max="1" width="9.85546875" bestFit="1" customWidth="1"/>
    <col min="2" max="2" width="12.85546875" bestFit="1" customWidth="1"/>
    <col min="3" max="3" width="15.28515625" bestFit="1" customWidth="1"/>
    <col min="4" max="4" width="12" bestFit="1" customWidth="1"/>
  </cols>
  <sheetData>
    <row r="1" spans="1:4">
      <c r="A1" t="s">
        <v>0</v>
      </c>
      <c r="B1" t="s">
        <v>1</v>
      </c>
      <c r="C1" t="s">
        <v>2</v>
      </c>
      <c r="D1" t="s">
        <v>3</v>
      </c>
    </row>
    <row r="2" spans="1:4">
      <c r="A2" s="1">
        <v>44562</v>
      </c>
      <c r="B2" t="s">
        <v>4</v>
      </c>
      <c r="C2" t="s">
        <v>5</v>
      </c>
      <c r="D2">
        <v>1</v>
      </c>
    </row>
    <row r="3" spans="1:4">
      <c r="A3" s="1">
        <v>44593</v>
      </c>
      <c r="B3" t="s">
        <v>6</v>
      </c>
      <c r="C3" t="s">
        <v>5</v>
      </c>
      <c r="D3">
        <v>2</v>
      </c>
    </row>
    <row r="4" spans="1:4">
      <c r="A4" s="1">
        <v>44621</v>
      </c>
      <c r="B4" t="s">
        <v>7</v>
      </c>
      <c r="C4" t="s">
        <v>5</v>
      </c>
      <c r="D4">
        <v>3</v>
      </c>
    </row>
    <row r="5" spans="1:4">
      <c r="A5" s="1">
        <v>44652</v>
      </c>
      <c r="B5" t="s">
        <v>8</v>
      </c>
      <c r="C5" t="s">
        <v>5</v>
      </c>
      <c r="D5">
        <v>4</v>
      </c>
    </row>
    <row r="6" spans="1:4">
      <c r="A6" s="1">
        <v>44713</v>
      </c>
      <c r="B6" t="s">
        <v>9</v>
      </c>
      <c r="C6" t="s">
        <v>10</v>
      </c>
      <c r="D6">
        <v>1</v>
      </c>
    </row>
    <row r="7" spans="1:4">
      <c r="A7" s="1">
        <v>44743</v>
      </c>
      <c r="B7" t="s">
        <v>11</v>
      </c>
      <c r="C7" t="s">
        <v>10</v>
      </c>
      <c r="D7">
        <v>2</v>
      </c>
    </row>
    <row r="8" spans="1:4">
      <c r="A8" s="1">
        <v>44774</v>
      </c>
      <c r="B8" t="s">
        <v>12</v>
      </c>
      <c r="C8" t="s">
        <v>10</v>
      </c>
      <c r="D8">
        <v>3</v>
      </c>
    </row>
    <row r="9" spans="1:4">
      <c r="A9" s="1">
        <v>44805</v>
      </c>
      <c r="B9" t="s">
        <v>13</v>
      </c>
      <c r="C9" t="s">
        <v>10</v>
      </c>
      <c r="D9">
        <v>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4"/>
  <sheetViews>
    <sheetView workbookViewId="0"/>
  </sheetViews>
  <sheetFormatPr defaultRowHeight="15"/>
  <cols>
    <col min="1" max="1" width="4.85546875" bestFit="1" customWidth="1"/>
    <col min="2" max="2" width="49.7109375" bestFit="1" customWidth="1"/>
  </cols>
  <sheetData>
    <row r="1" spans="1:2">
      <c r="A1" t="s">
        <v>14</v>
      </c>
      <c r="B1" t="s">
        <v>15</v>
      </c>
    </row>
    <row r="2" spans="1:2">
      <c r="A2" t="s">
        <v>16</v>
      </c>
      <c r="B2" t="s">
        <v>17</v>
      </c>
    </row>
    <row r="3" spans="1:2">
      <c r="A3" t="s">
        <v>18</v>
      </c>
      <c r="B3" t="s">
        <v>19</v>
      </c>
    </row>
    <row r="4" spans="1:2">
      <c r="A4" t="s">
        <v>20</v>
      </c>
      <c r="B4" t="s">
        <v>21</v>
      </c>
    </row>
    <row r="5" spans="1:2">
      <c r="A5" t="s">
        <v>22</v>
      </c>
      <c r="B5" t="s">
        <v>23</v>
      </c>
    </row>
    <row r="6" spans="1:2">
      <c r="A6" t="s">
        <v>24</v>
      </c>
      <c r="B6" t="s">
        <v>25</v>
      </c>
    </row>
    <row r="7" spans="1:2">
      <c r="A7" t="s">
        <v>26</v>
      </c>
      <c r="B7" t="s">
        <v>27</v>
      </c>
    </row>
    <row r="8" spans="1:2">
      <c r="A8" t="s">
        <v>28</v>
      </c>
      <c r="B8" t="s">
        <v>29</v>
      </c>
    </row>
    <row r="9" spans="1:2">
      <c r="A9" t="s">
        <v>30</v>
      </c>
      <c r="B9" t="s">
        <v>31</v>
      </c>
    </row>
    <row r="10" spans="1:2">
      <c r="A10" t="s">
        <v>32</v>
      </c>
      <c r="B10" t="s">
        <v>33</v>
      </c>
    </row>
    <row r="11" spans="1:2">
      <c r="A11" t="s">
        <v>34</v>
      </c>
      <c r="B11" t="s">
        <v>35</v>
      </c>
    </row>
    <row r="12" spans="1:2">
      <c r="A12" t="s">
        <v>36</v>
      </c>
      <c r="B12" t="s">
        <v>37</v>
      </c>
    </row>
    <row r="13" spans="1:2">
      <c r="A13" t="s">
        <v>38</v>
      </c>
      <c r="B13" t="s">
        <v>39</v>
      </c>
    </row>
    <row r="14" spans="1:2">
      <c r="A14" t="s">
        <v>40</v>
      </c>
      <c r="B14" t="s">
        <v>41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A1201"/>
  <sheetViews>
    <sheetView topLeftCell="A114" workbookViewId="0">
      <selection activeCell="D6" sqref="D6"/>
    </sheetView>
  </sheetViews>
  <sheetFormatPr defaultRowHeight="15"/>
  <cols>
    <col min="1" max="1" width="9.85546875" bestFit="1" customWidth="1"/>
    <col min="2" max="2" width="9.7109375" bestFit="1" customWidth="1"/>
    <col min="3" max="3" width="11.5703125" customWidth="1"/>
    <col min="4" max="4" width="11.7109375" bestFit="1" customWidth="1"/>
    <col min="5" max="5" width="11.140625" customWidth="1"/>
    <col min="6" max="6" width="23.140625" customWidth="1"/>
    <col min="7" max="7" width="7.140625" customWidth="1"/>
    <col min="8" max="8" width="19.7109375" customWidth="1"/>
    <col min="9" max="9" width="26.28515625" customWidth="1"/>
    <col min="10" max="10" width="10.140625" customWidth="1"/>
    <col min="11" max="11" width="9.7109375" bestFit="1" customWidth="1"/>
    <col min="12" max="12" width="14.5703125" customWidth="1"/>
    <col min="13" max="13" width="11.7109375" bestFit="1" customWidth="1"/>
    <col min="14" max="14" width="17.140625" customWidth="1"/>
    <col min="15" max="15" width="14.140625" customWidth="1"/>
    <col min="16" max="16" width="9.42578125" customWidth="1"/>
    <col min="17" max="17" width="9.42578125" hidden="1" customWidth="1"/>
    <col min="18" max="18" width="11.7109375" hidden="1" customWidth="1"/>
    <col min="19" max="19" width="11.42578125" customWidth="1"/>
    <col min="20" max="20" width="10.7109375" customWidth="1"/>
    <col min="21" max="21" width="12.5703125" customWidth="1"/>
    <col min="22" max="22" width="11.7109375" bestFit="1" customWidth="1"/>
    <col min="23" max="23" width="7.85546875" customWidth="1"/>
    <col min="24" max="24" width="21.85546875" customWidth="1"/>
    <col min="26" max="26" width="9.85546875" bestFit="1" customWidth="1"/>
    <col min="27" max="27" width="15.28515625" bestFit="1" customWidth="1"/>
  </cols>
  <sheetData>
    <row r="1" spans="1:27">
      <c r="A1" t="s">
        <v>0</v>
      </c>
      <c r="B1" t="s">
        <v>42</v>
      </c>
      <c r="C1" t="s">
        <v>43</v>
      </c>
      <c r="D1" t="s">
        <v>44</v>
      </c>
      <c r="E1" t="s">
        <v>45</v>
      </c>
      <c r="F1" t="s">
        <v>46</v>
      </c>
      <c r="G1" t="s">
        <v>47</v>
      </c>
      <c r="H1" t="s">
        <v>48</v>
      </c>
      <c r="I1" t="s">
        <v>49</v>
      </c>
      <c r="J1" t="s">
        <v>50</v>
      </c>
      <c r="K1" t="s">
        <v>51</v>
      </c>
      <c r="L1" t="s">
        <v>52</v>
      </c>
      <c r="M1" t="s">
        <v>53</v>
      </c>
      <c r="N1" t="s">
        <v>54</v>
      </c>
      <c r="O1" t="s">
        <v>55</v>
      </c>
      <c r="P1" t="s">
        <v>56</v>
      </c>
      <c r="Q1" t="s">
        <v>57</v>
      </c>
      <c r="R1" t="s">
        <v>58</v>
      </c>
      <c r="S1" t="s">
        <v>59</v>
      </c>
      <c r="T1" t="s">
        <v>60</v>
      </c>
      <c r="U1" t="s">
        <v>61</v>
      </c>
      <c r="V1" t="s">
        <v>62</v>
      </c>
      <c r="W1" t="s">
        <v>63</v>
      </c>
      <c r="X1" t="s">
        <v>64</v>
      </c>
      <c r="Z1" t="s">
        <v>0</v>
      </c>
      <c r="AA1" t="s">
        <v>2</v>
      </c>
    </row>
    <row r="2" spans="1:27">
      <c r="A2" s="1">
        <v>44562</v>
      </c>
      <c r="B2" t="s">
        <v>5</v>
      </c>
      <c r="C2">
        <v>400001</v>
      </c>
      <c r="D2" t="s">
        <v>65</v>
      </c>
      <c r="E2" t="s">
        <v>66</v>
      </c>
      <c r="F2">
        <v>60.69</v>
      </c>
      <c r="G2">
        <v>192</v>
      </c>
      <c r="H2">
        <v>31.61</v>
      </c>
      <c r="I2">
        <v>1.9</v>
      </c>
      <c r="J2" s="1"/>
      <c r="Q2">
        <v>400001</v>
      </c>
      <c r="R2" t="s">
        <v>65</v>
      </c>
      <c r="S2" s="1"/>
      <c r="Z2" s="1">
        <v>44562</v>
      </c>
      <c r="AA2" t="s">
        <v>5</v>
      </c>
    </row>
    <row r="3" spans="1:27">
      <c r="A3" s="1">
        <v>44562</v>
      </c>
      <c r="B3" t="s">
        <v>5</v>
      </c>
      <c r="C3">
        <v>110001</v>
      </c>
      <c r="D3" t="s">
        <v>67</v>
      </c>
      <c r="E3" t="s">
        <v>66</v>
      </c>
      <c r="F3">
        <v>42.71</v>
      </c>
      <c r="G3">
        <v>175</v>
      </c>
      <c r="H3">
        <v>24.41</v>
      </c>
      <c r="I3">
        <v>1.31</v>
      </c>
      <c r="J3" s="1"/>
      <c r="Q3">
        <v>110001</v>
      </c>
      <c r="R3" t="s">
        <v>67</v>
      </c>
      <c r="S3" s="1"/>
      <c r="Z3" s="1">
        <v>44593</v>
      </c>
      <c r="AA3" t="s">
        <v>5</v>
      </c>
    </row>
    <row r="4" spans="1:27">
      <c r="A4" s="1">
        <v>44562</v>
      </c>
      <c r="B4" t="s">
        <v>5</v>
      </c>
      <c r="C4">
        <v>700001</v>
      </c>
      <c r="D4" t="s">
        <v>68</v>
      </c>
      <c r="E4" t="s">
        <v>66</v>
      </c>
      <c r="F4">
        <v>36.909999999999997</v>
      </c>
      <c r="G4">
        <v>175</v>
      </c>
      <c r="H4">
        <v>21.09</v>
      </c>
      <c r="I4">
        <v>1.25</v>
      </c>
      <c r="J4" s="1"/>
      <c r="Q4">
        <v>700001</v>
      </c>
      <c r="R4" t="s">
        <v>68</v>
      </c>
      <c r="S4" s="1"/>
      <c r="Z4" s="1">
        <v>44621</v>
      </c>
      <c r="AA4" t="s">
        <v>5</v>
      </c>
    </row>
    <row r="5" spans="1:27">
      <c r="A5" s="1">
        <v>44562</v>
      </c>
      <c r="B5" t="s">
        <v>5</v>
      </c>
      <c r="C5">
        <v>560001</v>
      </c>
      <c r="D5" t="s">
        <v>69</v>
      </c>
      <c r="E5" t="s">
        <v>66</v>
      </c>
      <c r="F5">
        <v>37.4</v>
      </c>
      <c r="G5">
        <v>175</v>
      </c>
      <c r="H5">
        <v>21.37</v>
      </c>
      <c r="I5">
        <v>1.39</v>
      </c>
      <c r="J5" s="1"/>
      <c r="Q5">
        <v>560001</v>
      </c>
      <c r="R5" t="s">
        <v>69</v>
      </c>
      <c r="S5" s="1"/>
      <c r="Z5" s="1">
        <v>44652</v>
      </c>
      <c r="AA5" t="s">
        <v>5</v>
      </c>
    </row>
    <row r="6" spans="1:27">
      <c r="A6" s="1">
        <v>44562</v>
      </c>
      <c r="B6" t="s">
        <v>5</v>
      </c>
      <c r="C6">
        <v>600001</v>
      </c>
      <c r="D6" t="s">
        <v>70</v>
      </c>
      <c r="E6" t="s">
        <v>66</v>
      </c>
      <c r="F6">
        <v>30.8</v>
      </c>
      <c r="G6">
        <v>203</v>
      </c>
      <c r="H6">
        <v>15.17</v>
      </c>
      <c r="I6">
        <v>1.1200000000000001</v>
      </c>
      <c r="J6" s="1"/>
      <c r="Q6">
        <v>600001</v>
      </c>
      <c r="R6" t="s">
        <v>70</v>
      </c>
      <c r="S6" s="1"/>
      <c r="Z6" s="1">
        <v>44713</v>
      </c>
      <c r="AA6" t="s">
        <v>10</v>
      </c>
    </row>
    <row r="7" spans="1:27">
      <c r="A7" s="1">
        <v>44562</v>
      </c>
      <c r="B7" t="s">
        <v>5</v>
      </c>
      <c r="C7">
        <v>500001</v>
      </c>
      <c r="D7" t="s">
        <v>71</v>
      </c>
      <c r="E7" t="s">
        <v>66</v>
      </c>
      <c r="F7">
        <v>28.25</v>
      </c>
      <c r="G7">
        <v>183</v>
      </c>
      <c r="H7">
        <v>15.44</v>
      </c>
      <c r="I7">
        <v>0.78</v>
      </c>
      <c r="J7" s="1"/>
      <c r="Q7">
        <v>500001</v>
      </c>
      <c r="R7" t="s">
        <v>71</v>
      </c>
      <c r="S7" s="1"/>
      <c r="Z7" s="1">
        <v>44743</v>
      </c>
      <c r="AA7" t="s">
        <v>10</v>
      </c>
    </row>
    <row r="8" spans="1:27">
      <c r="A8" s="1">
        <v>44562</v>
      </c>
      <c r="B8" t="s">
        <v>5</v>
      </c>
      <c r="C8">
        <v>411001</v>
      </c>
      <c r="D8" t="s">
        <v>72</v>
      </c>
      <c r="E8" t="s">
        <v>66</v>
      </c>
      <c r="F8">
        <v>24.22</v>
      </c>
      <c r="G8">
        <v>200</v>
      </c>
      <c r="H8">
        <v>12.11</v>
      </c>
      <c r="I8">
        <v>1.08</v>
      </c>
      <c r="J8" s="1"/>
      <c r="Q8">
        <v>411001</v>
      </c>
      <c r="R8" t="s">
        <v>72</v>
      </c>
      <c r="S8" s="1"/>
      <c r="Z8" s="1">
        <v>44774</v>
      </c>
      <c r="AA8" t="s">
        <v>10</v>
      </c>
    </row>
    <row r="9" spans="1:27">
      <c r="A9" s="1">
        <v>44562</v>
      </c>
      <c r="B9" t="s">
        <v>5</v>
      </c>
      <c r="C9">
        <v>380001</v>
      </c>
      <c r="D9" t="s">
        <v>73</v>
      </c>
      <c r="E9" t="s">
        <v>66</v>
      </c>
      <c r="F9">
        <v>20.97</v>
      </c>
      <c r="G9">
        <v>165</v>
      </c>
      <c r="H9">
        <v>12.71</v>
      </c>
      <c r="I9">
        <v>0.62</v>
      </c>
      <c r="J9" s="1"/>
      <c r="Q9">
        <v>380001</v>
      </c>
      <c r="R9" t="s">
        <v>73</v>
      </c>
      <c r="S9" s="1"/>
      <c r="Z9" s="1">
        <v>44805</v>
      </c>
      <c r="AA9" t="s">
        <v>10</v>
      </c>
    </row>
    <row r="10" spans="1:27">
      <c r="A10" s="1">
        <v>44562</v>
      </c>
      <c r="B10" t="s">
        <v>5</v>
      </c>
      <c r="C10">
        <v>302001</v>
      </c>
      <c r="D10" t="s">
        <v>74</v>
      </c>
      <c r="E10" t="s">
        <v>66</v>
      </c>
      <c r="F10">
        <v>22.21</v>
      </c>
      <c r="G10">
        <v>189</v>
      </c>
      <c r="H10">
        <v>11.75</v>
      </c>
      <c r="I10">
        <v>0.52</v>
      </c>
      <c r="J10" s="1"/>
      <c r="Q10">
        <v>302001</v>
      </c>
      <c r="R10" t="s">
        <v>74</v>
      </c>
      <c r="S10" s="1"/>
    </row>
    <row r="11" spans="1:27">
      <c r="A11" s="1">
        <v>44562</v>
      </c>
      <c r="B11" t="s">
        <v>5</v>
      </c>
      <c r="C11">
        <v>226001</v>
      </c>
      <c r="D11" t="s">
        <v>75</v>
      </c>
      <c r="E11" t="s">
        <v>66</v>
      </c>
      <c r="F11">
        <v>11.86</v>
      </c>
      <c r="G11">
        <v>198</v>
      </c>
      <c r="H11">
        <v>5.99</v>
      </c>
      <c r="I11">
        <v>0.45</v>
      </c>
      <c r="J11" s="1"/>
      <c r="Q11">
        <v>226001</v>
      </c>
      <c r="R11" t="s">
        <v>75</v>
      </c>
      <c r="S11" s="1"/>
    </row>
    <row r="12" spans="1:27">
      <c r="A12" s="1">
        <v>44562</v>
      </c>
      <c r="B12" t="s">
        <v>5</v>
      </c>
      <c r="C12">
        <v>800008</v>
      </c>
      <c r="D12" t="s">
        <v>76</v>
      </c>
      <c r="E12" t="s">
        <v>66</v>
      </c>
      <c r="F12">
        <v>14.59</v>
      </c>
      <c r="G12">
        <v>188</v>
      </c>
      <c r="H12">
        <v>7.76</v>
      </c>
      <c r="I12">
        <v>0.39</v>
      </c>
      <c r="J12" s="1"/>
      <c r="Q12">
        <v>800008</v>
      </c>
      <c r="R12" t="s">
        <v>76</v>
      </c>
      <c r="S12" s="1"/>
    </row>
    <row r="13" spans="1:27">
      <c r="A13" s="1">
        <v>44562</v>
      </c>
      <c r="B13" t="s">
        <v>5</v>
      </c>
      <c r="C13">
        <v>641001</v>
      </c>
      <c r="D13" t="s">
        <v>77</v>
      </c>
      <c r="E13" t="s">
        <v>66</v>
      </c>
      <c r="F13">
        <v>7.82</v>
      </c>
      <c r="G13">
        <v>212</v>
      </c>
      <c r="H13">
        <v>3.69</v>
      </c>
      <c r="I13">
        <v>0.28000000000000003</v>
      </c>
      <c r="J13" s="1"/>
      <c r="Q13">
        <v>641001</v>
      </c>
      <c r="R13" t="s">
        <v>77</v>
      </c>
      <c r="S13" s="1"/>
    </row>
    <row r="14" spans="1:27">
      <c r="A14" s="1">
        <v>44562</v>
      </c>
      <c r="B14" t="s">
        <v>5</v>
      </c>
      <c r="C14">
        <v>160017</v>
      </c>
      <c r="D14" t="s">
        <v>78</v>
      </c>
      <c r="E14" t="s">
        <v>66</v>
      </c>
      <c r="F14">
        <v>6.35</v>
      </c>
      <c r="G14">
        <v>185</v>
      </c>
      <c r="H14">
        <v>3.43</v>
      </c>
      <c r="I14">
        <v>0.17</v>
      </c>
      <c r="J14" s="1"/>
      <c r="Q14">
        <v>160017</v>
      </c>
      <c r="R14" t="s">
        <v>78</v>
      </c>
      <c r="S14" s="1"/>
    </row>
    <row r="15" spans="1:27">
      <c r="A15" s="1">
        <v>44562</v>
      </c>
      <c r="B15" t="s">
        <v>5</v>
      </c>
      <c r="C15">
        <v>122001</v>
      </c>
      <c r="D15" t="s">
        <v>79</v>
      </c>
      <c r="E15" t="s">
        <v>66</v>
      </c>
      <c r="F15">
        <v>5.32</v>
      </c>
      <c r="G15">
        <v>181</v>
      </c>
      <c r="H15">
        <v>2.94</v>
      </c>
      <c r="I15">
        <v>0.25</v>
      </c>
      <c r="J15" s="1"/>
      <c r="Q15">
        <v>122001</v>
      </c>
      <c r="R15" t="s">
        <v>79</v>
      </c>
      <c r="S15" s="1"/>
    </row>
    <row r="16" spans="1:27">
      <c r="A16" s="1">
        <v>44562</v>
      </c>
      <c r="B16" t="s">
        <v>5</v>
      </c>
      <c r="C16">
        <v>492001</v>
      </c>
      <c r="D16" t="s">
        <v>80</v>
      </c>
      <c r="E16" t="s">
        <v>66</v>
      </c>
      <c r="F16">
        <v>4.2699999999999996</v>
      </c>
      <c r="G16">
        <v>191</v>
      </c>
      <c r="H16">
        <v>2.2400000000000002</v>
      </c>
      <c r="I16">
        <v>0.16</v>
      </c>
      <c r="J16" s="1"/>
      <c r="Q16">
        <v>492001</v>
      </c>
      <c r="R16" t="s">
        <v>80</v>
      </c>
      <c r="S16" s="1"/>
    </row>
    <row r="17" spans="1:19">
      <c r="A17" s="1">
        <v>44593</v>
      </c>
      <c r="B17" t="s">
        <v>5</v>
      </c>
      <c r="C17">
        <v>400001</v>
      </c>
      <c r="D17" t="s">
        <v>65</v>
      </c>
      <c r="E17" t="s">
        <v>66</v>
      </c>
      <c r="F17">
        <v>61.19</v>
      </c>
      <c r="G17">
        <v>169</v>
      </c>
      <c r="H17">
        <v>36.21</v>
      </c>
      <c r="I17">
        <v>2.71</v>
      </c>
      <c r="J17" s="1"/>
      <c r="S17" s="1"/>
    </row>
    <row r="18" spans="1:19">
      <c r="A18" s="1">
        <v>44593</v>
      </c>
      <c r="B18" t="s">
        <v>5</v>
      </c>
      <c r="C18">
        <v>110001</v>
      </c>
      <c r="D18" t="s">
        <v>67</v>
      </c>
      <c r="E18" t="s">
        <v>66</v>
      </c>
      <c r="F18">
        <v>54.18</v>
      </c>
      <c r="G18">
        <v>189</v>
      </c>
      <c r="H18">
        <v>28.67</v>
      </c>
      <c r="I18">
        <v>1.85</v>
      </c>
      <c r="J18" s="1"/>
      <c r="S18" s="1"/>
    </row>
    <row r="19" spans="1:19">
      <c r="A19" s="1">
        <v>44593</v>
      </c>
      <c r="B19" t="s">
        <v>5</v>
      </c>
      <c r="C19">
        <v>700001</v>
      </c>
      <c r="D19" t="s">
        <v>68</v>
      </c>
      <c r="E19" t="s">
        <v>66</v>
      </c>
      <c r="F19">
        <v>39.479999999999997</v>
      </c>
      <c r="G19">
        <v>175</v>
      </c>
      <c r="H19">
        <v>22.56</v>
      </c>
      <c r="I19">
        <v>1.75</v>
      </c>
      <c r="J19" s="1"/>
      <c r="S19" s="1"/>
    </row>
    <row r="20" spans="1:19">
      <c r="A20" s="1">
        <v>44593</v>
      </c>
      <c r="B20" t="s">
        <v>5</v>
      </c>
      <c r="C20">
        <v>560001</v>
      </c>
      <c r="D20" t="s">
        <v>69</v>
      </c>
      <c r="E20" t="s">
        <v>66</v>
      </c>
      <c r="F20">
        <v>47.06</v>
      </c>
      <c r="G20">
        <v>189</v>
      </c>
      <c r="H20">
        <v>24.9</v>
      </c>
      <c r="I20">
        <v>1.22</v>
      </c>
      <c r="J20" s="1"/>
      <c r="S20" s="1"/>
    </row>
    <row r="21" spans="1:19">
      <c r="A21" s="1">
        <v>44593</v>
      </c>
      <c r="B21" t="s">
        <v>5</v>
      </c>
      <c r="C21">
        <v>600001</v>
      </c>
      <c r="D21" t="s">
        <v>70</v>
      </c>
      <c r="E21" t="s">
        <v>66</v>
      </c>
      <c r="F21">
        <v>55.9</v>
      </c>
      <c r="G21">
        <v>206</v>
      </c>
      <c r="H21">
        <v>27.14</v>
      </c>
      <c r="I21">
        <v>1.68</v>
      </c>
      <c r="J21" s="1"/>
      <c r="S21" s="1"/>
    </row>
    <row r="22" spans="1:19">
      <c r="A22" s="1">
        <v>44593</v>
      </c>
      <c r="B22" t="s">
        <v>5</v>
      </c>
      <c r="C22">
        <v>500001</v>
      </c>
      <c r="D22" t="s">
        <v>71</v>
      </c>
      <c r="E22" t="s">
        <v>66</v>
      </c>
      <c r="F22">
        <v>34.47</v>
      </c>
      <c r="G22">
        <v>193</v>
      </c>
      <c r="H22">
        <v>17.86</v>
      </c>
      <c r="I22">
        <v>1.1299999999999999</v>
      </c>
      <c r="J22" s="1"/>
      <c r="S22" s="1"/>
    </row>
    <row r="23" spans="1:19">
      <c r="A23" s="1">
        <v>44593</v>
      </c>
      <c r="B23" t="s">
        <v>5</v>
      </c>
      <c r="C23">
        <v>411001</v>
      </c>
      <c r="D23" t="s">
        <v>72</v>
      </c>
      <c r="E23" t="s">
        <v>66</v>
      </c>
      <c r="F23">
        <v>28.66</v>
      </c>
      <c r="G23">
        <v>190</v>
      </c>
      <c r="H23">
        <v>15.08</v>
      </c>
      <c r="I23">
        <v>0.72</v>
      </c>
      <c r="J23" s="1"/>
      <c r="S23" s="1"/>
    </row>
    <row r="24" spans="1:19">
      <c r="A24" s="1">
        <v>44593</v>
      </c>
      <c r="B24" t="s">
        <v>5</v>
      </c>
      <c r="C24">
        <v>380001</v>
      </c>
      <c r="D24" t="s">
        <v>73</v>
      </c>
      <c r="E24" t="s">
        <v>66</v>
      </c>
      <c r="F24">
        <v>20.63</v>
      </c>
      <c r="G24">
        <v>171</v>
      </c>
      <c r="H24">
        <v>12.06</v>
      </c>
      <c r="I24">
        <v>0.74</v>
      </c>
      <c r="J24" s="1"/>
      <c r="S24" s="1"/>
    </row>
    <row r="25" spans="1:19">
      <c r="A25" s="1">
        <v>44593</v>
      </c>
      <c r="B25" t="s">
        <v>5</v>
      </c>
      <c r="C25">
        <v>302001</v>
      </c>
      <c r="D25" t="s">
        <v>74</v>
      </c>
      <c r="E25" t="s">
        <v>66</v>
      </c>
      <c r="F25">
        <v>15.67</v>
      </c>
      <c r="G25">
        <v>199</v>
      </c>
      <c r="H25">
        <v>7.87</v>
      </c>
      <c r="I25">
        <v>0.55000000000000004</v>
      </c>
      <c r="J25" s="1"/>
      <c r="S25" s="1"/>
    </row>
    <row r="26" spans="1:19">
      <c r="A26" s="1">
        <v>44593</v>
      </c>
      <c r="B26" t="s">
        <v>5</v>
      </c>
      <c r="C26">
        <v>226001</v>
      </c>
      <c r="D26" t="s">
        <v>75</v>
      </c>
      <c r="E26" t="s">
        <v>66</v>
      </c>
      <c r="F26">
        <v>24.77</v>
      </c>
      <c r="G26">
        <v>210</v>
      </c>
      <c r="H26">
        <v>11.8</v>
      </c>
      <c r="I26">
        <v>0.55000000000000004</v>
      </c>
      <c r="J26" s="1"/>
      <c r="S26" s="1"/>
    </row>
    <row r="27" spans="1:19">
      <c r="A27" s="1">
        <v>44593</v>
      </c>
      <c r="B27" t="s">
        <v>5</v>
      </c>
      <c r="C27">
        <v>800008</v>
      </c>
      <c r="D27" t="s">
        <v>76</v>
      </c>
      <c r="E27" t="s">
        <v>66</v>
      </c>
      <c r="F27">
        <v>11.72</v>
      </c>
      <c r="G27">
        <v>208</v>
      </c>
      <c r="H27">
        <v>5.63</v>
      </c>
      <c r="I27">
        <v>0.32</v>
      </c>
      <c r="J27" s="1"/>
      <c r="S27" s="1"/>
    </row>
    <row r="28" spans="1:19">
      <c r="A28" s="1">
        <v>44593</v>
      </c>
      <c r="B28" t="s">
        <v>5</v>
      </c>
      <c r="C28">
        <v>641001</v>
      </c>
      <c r="D28" t="s">
        <v>77</v>
      </c>
      <c r="E28" t="s">
        <v>66</v>
      </c>
      <c r="F28">
        <v>11.94</v>
      </c>
      <c r="G28">
        <v>170</v>
      </c>
      <c r="H28">
        <v>7.02</v>
      </c>
      <c r="I28">
        <v>0.41</v>
      </c>
      <c r="J28" s="1"/>
      <c r="S28" s="1"/>
    </row>
    <row r="29" spans="1:19">
      <c r="A29" s="1">
        <v>44593</v>
      </c>
      <c r="B29" t="s">
        <v>5</v>
      </c>
      <c r="C29">
        <v>160017</v>
      </c>
      <c r="D29" t="s">
        <v>78</v>
      </c>
      <c r="E29" t="s">
        <v>66</v>
      </c>
      <c r="F29">
        <v>6.34</v>
      </c>
      <c r="G29">
        <v>162</v>
      </c>
      <c r="H29">
        <v>3.91</v>
      </c>
      <c r="I29">
        <v>0.17</v>
      </c>
      <c r="J29" s="1"/>
      <c r="S29" s="1"/>
    </row>
    <row r="30" spans="1:19">
      <c r="A30" s="1">
        <v>44593</v>
      </c>
      <c r="B30" t="s">
        <v>5</v>
      </c>
      <c r="C30">
        <v>122001</v>
      </c>
      <c r="D30" t="s">
        <v>79</v>
      </c>
      <c r="E30" t="s">
        <v>66</v>
      </c>
      <c r="F30">
        <v>9.4499999999999993</v>
      </c>
      <c r="G30">
        <v>187</v>
      </c>
      <c r="H30">
        <v>5.05</v>
      </c>
      <c r="I30">
        <v>0.27</v>
      </c>
      <c r="J30" s="1"/>
      <c r="S30" s="1"/>
    </row>
    <row r="31" spans="1:19">
      <c r="A31" s="1">
        <v>44593</v>
      </c>
      <c r="B31" t="s">
        <v>5</v>
      </c>
      <c r="C31">
        <v>492001</v>
      </c>
      <c r="D31" t="s">
        <v>80</v>
      </c>
      <c r="E31" t="s">
        <v>66</v>
      </c>
      <c r="F31">
        <v>4.2300000000000004</v>
      </c>
      <c r="G31">
        <v>168</v>
      </c>
      <c r="H31">
        <v>2.52</v>
      </c>
      <c r="I31">
        <v>0.16</v>
      </c>
      <c r="J31" s="1"/>
      <c r="S31" s="1"/>
    </row>
    <row r="32" spans="1:19">
      <c r="A32" s="1">
        <v>44621</v>
      </c>
      <c r="B32" t="s">
        <v>5</v>
      </c>
      <c r="C32">
        <v>400001</v>
      </c>
      <c r="D32" t="s">
        <v>65</v>
      </c>
      <c r="E32" t="s">
        <v>66</v>
      </c>
      <c r="F32">
        <v>57.28</v>
      </c>
      <c r="G32">
        <v>213</v>
      </c>
      <c r="H32">
        <v>26.89</v>
      </c>
      <c r="I32">
        <v>2.33</v>
      </c>
      <c r="J32" s="1"/>
      <c r="S32" s="1"/>
    </row>
    <row r="33" spans="1:19">
      <c r="A33" s="1">
        <v>44621</v>
      </c>
      <c r="B33" t="s">
        <v>5</v>
      </c>
      <c r="C33">
        <v>110001</v>
      </c>
      <c r="D33" t="s">
        <v>67</v>
      </c>
      <c r="E33" t="s">
        <v>66</v>
      </c>
      <c r="F33">
        <v>48.98</v>
      </c>
      <c r="G33">
        <v>171</v>
      </c>
      <c r="H33">
        <v>28.64</v>
      </c>
      <c r="I33">
        <v>2.52</v>
      </c>
      <c r="J33" s="1"/>
      <c r="S33" s="1"/>
    </row>
    <row r="34" spans="1:19">
      <c r="A34" s="1">
        <v>44621</v>
      </c>
      <c r="B34" t="s">
        <v>5</v>
      </c>
      <c r="C34">
        <v>700001</v>
      </c>
      <c r="D34" t="s">
        <v>68</v>
      </c>
      <c r="E34" t="s">
        <v>66</v>
      </c>
      <c r="F34">
        <v>67.31</v>
      </c>
      <c r="G34">
        <v>187</v>
      </c>
      <c r="H34">
        <v>35.99</v>
      </c>
      <c r="I34">
        <v>2.2000000000000002</v>
      </c>
      <c r="J34" s="1"/>
      <c r="S34" s="1"/>
    </row>
    <row r="35" spans="1:19">
      <c r="A35" s="1">
        <v>44621</v>
      </c>
      <c r="B35" t="s">
        <v>5</v>
      </c>
      <c r="C35">
        <v>560001</v>
      </c>
      <c r="D35" t="s">
        <v>69</v>
      </c>
      <c r="E35" t="s">
        <v>66</v>
      </c>
      <c r="F35">
        <v>41.87</v>
      </c>
      <c r="G35">
        <v>166</v>
      </c>
      <c r="H35">
        <v>25.22</v>
      </c>
      <c r="I35">
        <v>1.59</v>
      </c>
      <c r="J35" s="1"/>
      <c r="S35" s="1"/>
    </row>
    <row r="36" spans="1:19">
      <c r="A36" s="1">
        <v>44621</v>
      </c>
      <c r="B36" t="s">
        <v>5</v>
      </c>
      <c r="C36">
        <v>600001</v>
      </c>
      <c r="D36" t="s">
        <v>70</v>
      </c>
      <c r="E36" t="s">
        <v>66</v>
      </c>
      <c r="F36">
        <v>30.5</v>
      </c>
      <c r="G36">
        <v>211</v>
      </c>
      <c r="H36">
        <v>14.45</v>
      </c>
      <c r="I36">
        <v>0.91</v>
      </c>
      <c r="J36" s="1"/>
      <c r="S36" s="1"/>
    </row>
    <row r="37" spans="1:19">
      <c r="A37" s="1">
        <v>44621</v>
      </c>
      <c r="B37" t="s">
        <v>5</v>
      </c>
      <c r="C37">
        <v>500001</v>
      </c>
      <c r="D37" t="s">
        <v>71</v>
      </c>
      <c r="E37" t="s">
        <v>66</v>
      </c>
      <c r="F37">
        <v>27.95</v>
      </c>
      <c r="G37">
        <v>211</v>
      </c>
      <c r="H37">
        <v>13.25</v>
      </c>
      <c r="I37">
        <v>0.78</v>
      </c>
      <c r="J37" s="1"/>
      <c r="S37" s="1"/>
    </row>
    <row r="38" spans="1:19">
      <c r="A38" s="1">
        <v>44621</v>
      </c>
      <c r="B38" t="s">
        <v>5</v>
      </c>
      <c r="C38">
        <v>411001</v>
      </c>
      <c r="D38" t="s">
        <v>72</v>
      </c>
      <c r="E38" t="s">
        <v>66</v>
      </c>
      <c r="F38">
        <v>30.83</v>
      </c>
      <c r="G38">
        <v>201</v>
      </c>
      <c r="H38">
        <v>15.34</v>
      </c>
      <c r="I38">
        <v>1.1000000000000001</v>
      </c>
      <c r="J38" s="1"/>
      <c r="S38" s="1"/>
    </row>
    <row r="39" spans="1:19">
      <c r="A39" s="1">
        <v>44621</v>
      </c>
      <c r="B39" t="s">
        <v>5</v>
      </c>
      <c r="C39">
        <v>380001</v>
      </c>
      <c r="D39" t="s">
        <v>73</v>
      </c>
      <c r="E39" t="s">
        <v>66</v>
      </c>
      <c r="F39">
        <v>28.95</v>
      </c>
      <c r="G39">
        <v>206</v>
      </c>
      <c r="H39">
        <v>14.05</v>
      </c>
      <c r="I39">
        <v>0.75</v>
      </c>
      <c r="J39" s="1"/>
      <c r="S39" s="1"/>
    </row>
    <row r="40" spans="1:19">
      <c r="A40" s="1">
        <v>44621</v>
      </c>
      <c r="B40" t="s">
        <v>5</v>
      </c>
      <c r="C40">
        <v>302001</v>
      </c>
      <c r="D40" t="s">
        <v>74</v>
      </c>
      <c r="E40" t="s">
        <v>66</v>
      </c>
      <c r="F40">
        <v>17.100000000000001</v>
      </c>
      <c r="G40">
        <v>186</v>
      </c>
      <c r="H40">
        <v>9.19</v>
      </c>
      <c r="I40">
        <v>0.81</v>
      </c>
      <c r="J40" s="1"/>
      <c r="S40" s="1"/>
    </row>
    <row r="41" spans="1:19">
      <c r="A41" s="1">
        <v>44621</v>
      </c>
      <c r="B41" t="s">
        <v>5</v>
      </c>
      <c r="C41">
        <v>226001</v>
      </c>
      <c r="D41" t="s">
        <v>75</v>
      </c>
      <c r="E41" t="s">
        <v>66</v>
      </c>
      <c r="F41">
        <v>14.93</v>
      </c>
      <c r="G41">
        <v>212</v>
      </c>
      <c r="H41">
        <v>7.04</v>
      </c>
      <c r="I41">
        <v>0.3</v>
      </c>
      <c r="J41" s="1"/>
      <c r="S41" s="1"/>
    </row>
    <row r="42" spans="1:19">
      <c r="A42" s="1">
        <v>44621</v>
      </c>
      <c r="B42" t="s">
        <v>5</v>
      </c>
      <c r="C42">
        <v>800008</v>
      </c>
      <c r="D42" t="s">
        <v>76</v>
      </c>
      <c r="E42" t="s">
        <v>66</v>
      </c>
      <c r="F42">
        <v>10.62</v>
      </c>
      <c r="G42">
        <v>197</v>
      </c>
      <c r="H42">
        <v>5.39</v>
      </c>
      <c r="I42">
        <v>0.47</v>
      </c>
      <c r="J42" s="1"/>
      <c r="S42" s="1"/>
    </row>
    <row r="43" spans="1:19">
      <c r="A43" s="1">
        <v>44621</v>
      </c>
      <c r="B43" t="s">
        <v>5</v>
      </c>
      <c r="C43">
        <v>641001</v>
      </c>
      <c r="D43" t="s">
        <v>77</v>
      </c>
      <c r="E43" t="s">
        <v>66</v>
      </c>
      <c r="F43">
        <v>17.12</v>
      </c>
      <c r="G43">
        <v>206</v>
      </c>
      <c r="H43">
        <v>8.31</v>
      </c>
      <c r="I43">
        <v>0.61</v>
      </c>
      <c r="J43" s="1"/>
      <c r="S43" s="1"/>
    </row>
    <row r="44" spans="1:19">
      <c r="A44" s="1">
        <v>44621</v>
      </c>
      <c r="B44" t="s">
        <v>5</v>
      </c>
      <c r="C44">
        <v>160017</v>
      </c>
      <c r="D44" t="s">
        <v>78</v>
      </c>
      <c r="E44" t="s">
        <v>66</v>
      </c>
      <c r="F44">
        <v>7.51</v>
      </c>
      <c r="G44">
        <v>202</v>
      </c>
      <c r="H44">
        <v>3.72</v>
      </c>
      <c r="I44">
        <v>0.25</v>
      </c>
      <c r="J44" s="1"/>
      <c r="S44" s="1"/>
    </row>
    <row r="45" spans="1:19">
      <c r="A45" s="1">
        <v>44621</v>
      </c>
      <c r="B45" t="s">
        <v>5</v>
      </c>
      <c r="C45">
        <v>122001</v>
      </c>
      <c r="D45" t="s">
        <v>79</v>
      </c>
      <c r="E45" t="s">
        <v>66</v>
      </c>
      <c r="F45">
        <v>6.04</v>
      </c>
      <c r="G45">
        <v>181</v>
      </c>
      <c r="H45">
        <v>3.34</v>
      </c>
      <c r="I45">
        <v>0.19</v>
      </c>
      <c r="J45" s="1"/>
      <c r="S45" s="1"/>
    </row>
    <row r="46" spans="1:19">
      <c r="A46" s="1">
        <v>44621</v>
      </c>
      <c r="B46" t="s">
        <v>5</v>
      </c>
      <c r="C46">
        <v>492001</v>
      </c>
      <c r="D46" t="s">
        <v>80</v>
      </c>
      <c r="E46" t="s">
        <v>66</v>
      </c>
      <c r="F46">
        <v>3.46</v>
      </c>
      <c r="G46">
        <v>197</v>
      </c>
      <c r="H46">
        <v>1.76</v>
      </c>
      <c r="I46">
        <v>0.15</v>
      </c>
      <c r="J46" s="1"/>
      <c r="S46" s="1"/>
    </row>
    <row r="47" spans="1:19">
      <c r="A47" s="1">
        <v>44652</v>
      </c>
      <c r="B47" t="s">
        <v>5</v>
      </c>
      <c r="C47">
        <v>400001</v>
      </c>
      <c r="D47" t="s">
        <v>65</v>
      </c>
      <c r="E47" t="s">
        <v>66</v>
      </c>
      <c r="F47">
        <v>65.239999999999995</v>
      </c>
      <c r="G47">
        <v>213</v>
      </c>
      <c r="H47">
        <v>30.63</v>
      </c>
      <c r="I47">
        <v>2.64</v>
      </c>
      <c r="J47" s="1"/>
      <c r="S47" s="1"/>
    </row>
    <row r="48" spans="1:19">
      <c r="A48" s="1">
        <v>44652</v>
      </c>
      <c r="B48" t="s">
        <v>5</v>
      </c>
      <c r="C48">
        <v>110001</v>
      </c>
      <c r="D48" t="s">
        <v>67</v>
      </c>
      <c r="E48" t="s">
        <v>66</v>
      </c>
      <c r="F48">
        <v>50.51</v>
      </c>
      <c r="G48">
        <v>191</v>
      </c>
      <c r="H48">
        <v>26.45</v>
      </c>
      <c r="I48">
        <v>2.02</v>
      </c>
      <c r="J48" s="1"/>
      <c r="S48" s="1"/>
    </row>
    <row r="49" spans="1:19">
      <c r="A49" s="1">
        <v>44652</v>
      </c>
      <c r="B49" t="s">
        <v>5</v>
      </c>
      <c r="C49">
        <v>700001</v>
      </c>
      <c r="D49" t="s">
        <v>68</v>
      </c>
      <c r="E49" t="s">
        <v>66</v>
      </c>
      <c r="F49">
        <v>48.85</v>
      </c>
      <c r="G49">
        <v>198</v>
      </c>
      <c r="H49">
        <v>24.67</v>
      </c>
      <c r="I49">
        <v>1.73</v>
      </c>
      <c r="J49" s="1"/>
      <c r="S49" s="1"/>
    </row>
    <row r="50" spans="1:19">
      <c r="A50" s="1">
        <v>44652</v>
      </c>
      <c r="B50" t="s">
        <v>5</v>
      </c>
      <c r="C50">
        <v>560001</v>
      </c>
      <c r="D50" t="s">
        <v>69</v>
      </c>
      <c r="E50" t="s">
        <v>66</v>
      </c>
      <c r="F50">
        <v>42.34</v>
      </c>
      <c r="G50">
        <v>169</v>
      </c>
      <c r="H50">
        <v>25.05</v>
      </c>
      <c r="I50">
        <v>1.51</v>
      </c>
      <c r="J50" s="1"/>
      <c r="S50" s="1"/>
    </row>
    <row r="51" spans="1:19">
      <c r="A51" s="1">
        <v>44652</v>
      </c>
      <c r="B51" t="s">
        <v>5</v>
      </c>
      <c r="C51">
        <v>600001</v>
      </c>
      <c r="D51" t="s">
        <v>70</v>
      </c>
      <c r="E51" t="s">
        <v>66</v>
      </c>
      <c r="F51">
        <v>32.93</v>
      </c>
      <c r="G51">
        <v>192</v>
      </c>
      <c r="H51">
        <v>17.149999999999999</v>
      </c>
      <c r="I51">
        <v>1.46</v>
      </c>
      <c r="J51" s="1"/>
      <c r="S51" s="1"/>
    </row>
    <row r="52" spans="1:19">
      <c r="A52" s="1">
        <v>44652</v>
      </c>
      <c r="B52" t="s">
        <v>5</v>
      </c>
      <c r="C52">
        <v>500001</v>
      </c>
      <c r="D52" t="s">
        <v>71</v>
      </c>
      <c r="E52" t="s">
        <v>66</v>
      </c>
      <c r="F52">
        <v>27.96</v>
      </c>
      <c r="G52">
        <v>199</v>
      </c>
      <c r="H52">
        <v>14.05</v>
      </c>
      <c r="I52">
        <v>1.17</v>
      </c>
      <c r="J52" s="1"/>
      <c r="S52" s="1"/>
    </row>
    <row r="53" spans="1:19">
      <c r="A53" s="1">
        <v>44652</v>
      </c>
      <c r="B53" t="s">
        <v>5</v>
      </c>
      <c r="C53">
        <v>411001</v>
      </c>
      <c r="D53" t="s">
        <v>72</v>
      </c>
      <c r="E53" t="s">
        <v>66</v>
      </c>
      <c r="F53">
        <v>45.93</v>
      </c>
      <c r="G53">
        <v>209</v>
      </c>
      <c r="H53">
        <v>21.98</v>
      </c>
      <c r="I53">
        <v>1.44</v>
      </c>
      <c r="J53" s="1"/>
      <c r="S53" s="1"/>
    </row>
    <row r="54" spans="1:19">
      <c r="A54" s="1">
        <v>44652</v>
      </c>
      <c r="B54" t="s">
        <v>5</v>
      </c>
      <c r="C54">
        <v>380001</v>
      </c>
      <c r="D54" t="s">
        <v>73</v>
      </c>
      <c r="E54" t="s">
        <v>66</v>
      </c>
      <c r="F54">
        <v>23.94</v>
      </c>
      <c r="G54">
        <v>163</v>
      </c>
      <c r="H54">
        <v>14.69</v>
      </c>
      <c r="I54">
        <v>1.21</v>
      </c>
      <c r="J54" s="1"/>
      <c r="S54" s="1"/>
    </row>
    <row r="55" spans="1:19">
      <c r="A55" s="1">
        <v>44652</v>
      </c>
      <c r="B55" t="s">
        <v>5</v>
      </c>
      <c r="C55">
        <v>302001</v>
      </c>
      <c r="D55" t="s">
        <v>74</v>
      </c>
      <c r="E55" t="s">
        <v>66</v>
      </c>
      <c r="F55">
        <v>15.11</v>
      </c>
      <c r="G55">
        <v>206</v>
      </c>
      <c r="H55">
        <v>7.33</v>
      </c>
      <c r="I55">
        <v>0.35</v>
      </c>
      <c r="J55" s="1"/>
      <c r="S55" s="1"/>
    </row>
    <row r="56" spans="1:19">
      <c r="A56" s="1">
        <v>44652</v>
      </c>
      <c r="B56" t="s">
        <v>5</v>
      </c>
      <c r="C56">
        <v>226001</v>
      </c>
      <c r="D56" t="s">
        <v>75</v>
      </c>
      <c r="E56" t="s">
        <v>66</v>
      </c>
      <c r="F56">
        <v>13.27</v>
      </c>
      <c r="G56">
        <v>193</v>
      </c>
      <c r="H56">
        <v>6.88</v>
      </c>
      <c r="I56">
        <v>0.42</v>
      </c>
      <c r="J56" s="1"/>
      <c r="S56" s="1"/>
    </row>
    <row r="57" spans="1:19">
      <c r="A57" s="1">
        <v>44652</v>
      </c>
      <c r="B57" t="s">
        <v>5</v>
      </c>
      <c r="C57">
        <v>800008</v>
      </c>
      <c r="D57" t="s">
        <v>76</v>
      </c>
      <c r="E57" t="s">
        <v>66</v>
      </c>
      <c r="F57">
        <v>11.81</v>
      </c>
      <c r="G57">
        <v>177</v>
      </c>
      <c r="H57">
        <v>6.67</v>
      </c>
      <c r="I57">
        <v>0.53</v>
      </c>
      <c r="J57" s="1"/>
      <c r="S57" s="1"/>
    </row>
    <row r="58" spans="1:19">
      <c r="A58" s="1">
        <v>44652</v>
      </c>
      <c r="B58" t="s">
        <v>5</v>
      </c>
      <c r="C58">
        <v>641001</v>
      </c>
      <c r="D58" t="s">
        <v>77</v>
      </c>
      <c r="E58" t="s">
        <v>66</v>
      </c>
      <c r="F58">
        <v>8.7899999999999991</v>
      </c>
      <c r="G58">
        <v>212</v>
      </c>
      <c r="H58">
        <v>4.1500000000000004</v>
      </c>
      <c r="I58">
        <v>0.25</v>
      </c>
      <c r="J58" s="1"/>
      <c r="S58" s="1"/>
    </row>
    <row r="59" spans="1:19">
      <c r="A59" s="1">
        <v>44652</v>
      </c>
      <c r="B59" t="s">
        <v>5</v>
      </c>
      <c r="C59">
        <v>160017</v>
      </c>
      <c r="D59" t="s">
        <v>78</v>
      </c>
      <c r="E59" t="s">
        <v>66</v>
      </c>
      <c r="F59">
        <v>10.48</v>
      </c>
      <c r="G59">
        <v>181</v>
      </c>
      <c r="H59">
        <v>5.79</v>
      </c>
      <c r="I59">
        <v>0.44</v>
      </c>
      <c r="J59" s="1"/>
      <c r="S59" s="1"/>
    </row>
    <row r="60" spans="1:19">
      <c r="A60" s="1">
        <v>44652</v>
      </c>
      <c r="B60" t="s">
        <v>5</v>
      </c>
      <c r="C60">
        <v>122001</v>
      </c>
      <c r="D60" t="s">
        <v>79</v>
      </c>
      <c r="E60" t="s">
        <v>66</v>
      </c>
      <c r="F60">
        <v>6.31</v>
      </c>
      <c r="G60">
        <v>185</v>
      </c>
      <c r="H60">
        <v>3.41</v>
      </c>
      <c r="I60">
        <v>0.2</v>
      </c>
      <c r="J60" s="1"/>
      <c r="S60" s="1"/>
    </row>
    <row r="61" spans="1:19">
      <c r="A61" s="1">
        <v>44652</v>
      </c>
      <c r="B61" t="s">
        <v>5</v>
      </c>
      <c r="C61">
        <v>492001</v>
      </c>
      <c r="D61" t="s">
        <v>80</v>
      </c>
      <c r="E61" t="s">
        <v>66</v>
      </c>
      <c r="F61">
        <v>3.72</v>
      </c>
      <c r="G61">
        <v>181</v>
      </c>
      <c r="H61">
        <v>2.06</v>
      </c>
      <c r="I61">
        <v>0.1</v>
      </c>
      <c r="J61" s="1"/>
      <c r="S61" s="1"/>
    </row>
    <row r="62" spans="1:19">
      <c r="A62" s="1">
        <v>44713</v>
      </c>
      <c r="B62" t="s">
        <v>10</v>
      </c>
      <c r="C62">
        <v>400001</v>
      </c>
      <c r="D62" t="s">
        <v>65</v>
      </c>
      <c r="E62" t="s">
        <v>66</v>
      </c>
      <c r="F62">
        <v>62.09</v>
      </c>
      <c r="G62">
        <v>193</v>
      </c>
      <c r="H62">
        <v>32.17</v>
      </c>
      <c r="I62">
        <v>2.41</v>
      </c>
      <c r="J62" s="1"/>
      <c r="S62" s="1"/>
    </row>
    <row r="63" spans="1:19">
      <c r="A63" s="1">
        <v>44713</v>
      </c>
      <c r="B63" t="s">
        <v>10</v>
      </c>
      <c r="C63">
        <v>110001</v>
      </c>
      <c r="D63" t="s">
        <v>67</v>
      </c>
      <c r="E63" t="s">
        <v>66</v>
      </c>
      <c r="F63">
        <v>42.12</v>
      </c>
      <c r="G63">
        <v>198</v>
      </c>
      <c r="H63">
        <v>21.27</v>
      </c>
      <c r="I63">
        <v>2.2799999999999998</v>
      </c>
      <c r="J63" s="1"/>
      <c r="S63" s="1"/>
    </row>
    <row r="64" spans="1:19">
      <c r="A64" s="1">
        <v>44713</v>
      </c>
      <c r="B64" t="s">
        <v>10</v>
      </c>
      <c r="C64">
        <v>700001</v>
      </c>
      <c r="D64" t="s">
        <v>68</v>
      </c>
      <c r="E64" t="s">
        <v>66</v>
      </c>
      <c r="F64">
        <v>36.770000000000003</v>
      </c>
      <c r="G64">
        <v>199</v>
      </c>
      <c r="H64">
        <v>18.48</v>
      </c>
      <c r="I64">
        <v>1.79</v>
      </c>
      <c r="J64" s="1"/>
      <c r="S64" s="1"/>
    </row>
    <row r="65" spans="1:19">
      <c r="A65" s="1">
        <v>44713</v>
      </c>
      <c r="B65" t="s">
        <v>10</v>
      </c>
      <c r="C65">
        <v>560001</v>
      </c>
      <c r="D65" t="s">
        <v>69</v>
      </c>
      <c r="E65" t="s">
        <v>66</v>
      </c>
      <c r="F65">
        <v>38.020000000000003</v>
      </c>
      <c r="G65">
        <v>242</v>
      </c>
      <c r="H65">
        <v>15.71</v>
      </c>
      <c r="I65">
        <v>1.1399999999999999</v>
      </c>
      <c r="J65" s="1"/>
      <c r="S65" s="1"/>
    </row>
    <row r="66" spans="1:19">
      <c r="A66" s="1">
        <v>44713</v>
      </c>
      <c r="B66" t="s">
        <v>10</v>
      </c>
      <c r="C66">
        <v>600001</v>
      </c>
      <c r="D66" t="s">
        <v>70</v>
      </c>
      <c r="E66" t="s">
        <v>66</v>
      </c>
      <c r="F66">
        <v>30.55</v>
      </c>
      <c r="G66">
        <v>198</v>
      </c>
      <c r="H66">
        <v>15.43</v>
      </c>
      <c r="I66">
        <v>1.63</v>
      </c>
      <c r="J66" s="1"/>
      <c r="S66" s="1"/>
    </row>
    <row r="67" spans="1:19">
      <c r="A67" s="1">
        <v>44713</v>
      </c>
      <c r="B67" t="s">
        <v>10</v>
      </c>
      <c r="C67">
        <v>500001</v>
      </c>
      <c r="D67" t="s">
        <v>71</v>
      </c>
      <c r="E67" t="s">
        <v>66</v>
      </c>
      <c r="F67">
        <v>28.09</v>
      </c>
      <c r="G67">
        <v>224</v>
      </c>
      <c r="H67">
        <v>12.54</v>
      </c>
      <c r="I67">
        <v>1.02</v>
      </c>
      <c r="J67" s="1"/>
      <c r="S67" s="1"/>
    </row>
    <row r="68" spans="1:19">
      <c r="A68" s="1">
        <v>44713</v>
      </c>
      <c r="B68" t="s">
        <v>10</v>
      </c>
      <c r="C68">
        <v>411001</v>
      </c>
      <c r="D68" t="s">
        <v>72</v>
      </c>
      <c r="E68" t="s">
        <v>66</v>
      </c>
      <c r="F68">
        <v>24.69</v>
      </c>
      <c r="G68">
        <v>199</v>
      </c>
      <c r="H68">
        <v>12.41</v>
      </c>
      <c r="I68">
        <v>1.28</v>
      </c>
      <c r="J68" s="1"/>
      <c r="S68" s="1"/>
    </row>
    <row r="69" spans="1:19">
      <c r="A69" s="1">
        <v>44713</v>
      </c>
      <c r="B69" t="s">
        <v>10</v>
      </c>
      <c r="C69">
        <v>380001</v>
      </c>
      <c r="D69" t="s">
        <v>73</v>
      </c>
      <c r="E69" t="s">
        <v>66</v>
      </c>
      <c r="F69">
        <v>20.84</v>
      </c>
      <c r="G69">
        <v>205</v>
      </c>
      <c r="H69">
        <v>10.17</v>
      </c>
      <c r="I69">
        <v>1.1000000000000001</v>
      </c>
      <c r="J69" s="1"/>
      <c r="S69" s="1"/>
    </row>
    <row r="70" spans="1:19">
      <c r="A70" s="1">
        <v>44713</v>
      </c>
      <c r="B70" t="s">
        <v>10</v>
      </c>
      <c r="C70">
        <v>302001</v>
      </c>
      <c r="D70" t="s">
        <v>74</v>
      </c>
      <c r="E70" t="s">
        <v>66</v>
      </c>
      <c r="F70">
        <v>22.85</v>
      </c>
      <c r="G70">
        <v>251</v>
      </c>
      <c r="H70">
        <v>9.1</v>
      </c>
      <c r="I70">
        <v>0.96</v>
      </c>
      <c r="J70" s="1"/>
      <c r="S70" s="1"/>
    </row>
    <row r="71" spans="1:19">
      <c r="A71" s="1">
        <v>44713</v>
      </c>
      <c r="B71" t="s">
        <v>10</v>
      </c>
      <c r="C71">
        <v>226001</v>
      </c>
      <c r="D71" t="s">
        <v>75</v>
      </c>
      <c r="E71" t="s">
        <v>66</v>
      </c>
      <c r="F71">
        <v>12.29</v>
      </c>
      <c r="G71">
        <v>219</v>
      </c>
      <c r="H71">
        <v>5.61</v>
      </c>
      <c r="I71">
        <v>0.59</v>
      </c>
      <c r="J71" s="1"/>
      <c r="S71" s="1"/>
    </row>
    <row r="72" spans="1:19">
      <c r="A72" s="1">
        <v>44713</v>
      </c>
      <c r="B72" t="s">
        <v>10</v>
      </c>
      <c r="C72">
        <v>800008</v>
      </c>
      <c r="D72" t="s">
        <v>76</v>
      </c>
      <c r="E72" t="s">
        <v>66</v>
      </c>
      <c r="F72">
        <v>15.07</v>
      </c>
      <c r="G72">
        <v>252</v>
      </c>
      <c r="H72">
        <v>5.98</v>
      </c>
      <c r="I72">
        <v>0.44</v>
      </c>
      <c r="J72" s="1"/>
      <c r="S72" s="1"/>
    </row>
    <row r="73" spans="1:19">
      <c r="A73" s="1">
        <v>44713</v>
      </c>
      <c r="B73" t="s">
        <v>10</v>
      </c>
      <c r="C73">
        <v>641001</v>
      </c>
      <c r="D73" t="s">
        <v>77</v>
      </c>
      <c r="E73" t="s">
        <v>66</v>
      </c>
      <c r="F73">
        <v>7.9</v>
      </c>
      <c r="G73">
        <v>236</v>
      </c>
      <c r="H73">
        <v>3.35</v>
      </c>
      <c r="I73">
        <v>0.26</v>
      </c>
      <c r="J73" s="1"/>
      <c r="S73" s="1"/>
    </row>
    <row r="74" spans="1:19">
      <c r="A74" s="1">
        <v>44713</v>
      </c>
      <c r="B74" t="s">
        <v>10</v>
      </c>
      <c r="C74">
        <v>160017</v>
      </c>
      <c r="D74" t="s">
        <v>78</v>
      </c>
      <c r="E74" t="s">
        <v>66</v>
      </c>
      <c r="F74">
        <v>6.41</v>
      </c>
      <c r="G74">
        <v>199</v>
      </c>
      <c r="H74">
        <v>3.22</v>
      </c>
      <c r="I74">
        <v>0.26</v>
      </c>
      <c r="J74" s="1"/>
      <c r="S74" s="1"/>
    </row>
    <row r="75" spans="1:19">
      <c r="A75" s="1">
        <v>44713</v>
      </c>
      <c r="B75" t="s">
        <v>10</v>
      </c>
      <c r="C75">
        <v>122001</v>
      </c>
      <c r="D75" t="s">
        <v>79</v>
      </c>
      <c r="E75" t="s">
        <v>66</v>
      </c>
      <c r="F75">
        <v>5.5</v>
      </c>
      <c r="G75">
        <v>197</v>
      </c>
      <c r="H75">
        <v>2.79</v>
      </c>
      <c r="I75">
        <v>0.25</v>
      </c>
      <c r="J75" s="1"/>
      <c r="S75" s="1"/>
    </row>
    <row r="76" spans="1:19">
      <c r="A76" s="1">
        <v>44713</v>
      </c>
      <c r="B76" t="s">
        <v>10</v>
      </c>
      <c r="C76">
        <v>492001</v>
      </c>
      <c r="D76" t="s">
        <v>80</v>
      </c>
      <c r="E76" t="s">
        <v>66</v>
      </c>
      <c r="F76">
        <v>4.37</v>
      </c>
      <c r="G76">
        <v>255</v>
      </c>
      <c r="H76">
        <v>1.71</v>
      </c>
      <c r="I76">
        <v>0.15</v>
      </c>
      <c r="J76" s="1"/>
      <c r="S76" s="1"/>
    </row>
    <row r="77" spans="1:19">
      <c r="A77" s="1">
        <v>44743</v>
      </c>
      <c r="B77" t="s">
        <v>10</v>
      </c>
      <c r="C77">
        <v>400001</v>
      </c>
      <c r="D77" t="s">
        <v>65</v>
      </c>
      <c r="E77" t="s">
        <v>66</v>
      </c>
      <c r="F77">
        <v>59.9</v>
      </c>
      <c r="G77">
        <v>243</v>
      </c>
      <c r="H77">
        <v>24.65</v>
      </c>
      <c r="I77">
        <v>1.86</v>
      </c>
      <c r="J77" s="1"/>
      <c r="S77" s="1"/>
    </row>
    <row r="78" spans="1:19">
      <c r="A78" s="1">
        <v>44743</v>
      </c>
      <c r="B78" t="s">
        <v>10</v>
      </c>
      <c r="C78">
        <v>110001</v>
      </c>
      <c r="D78" t="s">
        <v>67</v>
      </c>
      <c r="E78" t="s">
        <v>66</v>
      </c>
      <c r="F78">
        <v>51.3</v>
      </c>
      <c r="G78">
        <v>240</v>
      </c>
      <c r="H78">
        <v>21.38</v>
      </c>
      <c r="I78">
        <v>2.11</v>
      </c>
      <c r="J78" s="1"/>
      <c r="S78" s="1"/>
    </row>
    <row r="79" spans="1:19">
      <c r="A79" s="1">
        <v>44743</v>
      </c>
      <c r="B79" t="s">
        <v>10</v>
      </c>
      <c r="C79">
        <v>700001</v>
      </c>
      <c r="D79" t="s">
        <v>68</v>
      </c>
      <c r="E79" t="s">
        <v>66</v>
      </c>
      <c r="F79">
        <v>38.119999999999997</v>
      </c>
      <c r="G79">
        <v>169</v>
      </c>
      <c r="H79">
        <v>22.56</v>
      </c>
      <c r="I79">
        <v>1.77</v>
      </c>
      <c r="J79" s="1"/>
      <c r="S79" s="1"/>
    </row>
    <row r="80" spans="1:19">
      <c r="A80" s="1">
        <v>44743</v>
      </c>
      <c r="B80" t="s">
        <v>10</v>
      </c>
      <c r="C80">
        <v>560001</v>
      </c>
      <c r="D80" t="s">
        <v>69</v>
      </c>
      <c r="E80" t="s">
        <v>66</v>
      </c>
      <c r="F80">
        <v>46.11</v>
      </c>
      <c r="G80">
        <v>186</v>
      </c>
      <c r="H80">
        <v>24.79</v>
      </c>
      <c r="I80">
        <v>2.02</v>
      </c>
      <c r="J80" s="1"/>
      <c r="S80" s="1"/>
    </row>
    <row r="81" spans="1:19">
      <c r="A81" s="1">
        <v>44743</v>
      </c>
      <c r="B81" t="s">
        <v>10</v>
      </c>
      <c r="C81">
        <v>600001</v>
      </c>
      <c r="D81" t="s">
        <v>70</v>
      </c>
      <c r="E81" t="s">
        <v>66</v>
      </c>
      <c r="F81">
        <v>53.87</v>
      </c>
      <c r="G81">
        <v>196</v>
      </c>
      <c r="H81">
        <v>27.48</v>
      </c>
      <c r="I81">
        <v>2.54</v>
      </c>
      <c r="J81" s="1"/>
      <c r="S81" s="1"/>
    </row>
    <row r="82" spans="1:19">
      <c r="A82" s="1">
        <v>44743</v>
      </c>
      <c r="B82" t="s">
        <v>10</v>
      </c>
      <c r="C82">
        <v>500001</v>
      </c>
      <c r="D82" t="s">
        <v>71</v>
      </c>
      <c r="E82" t="s">
        <v>66</v>
      </c>
      <c r="F82">
        <v>33.32</v>
      </c>
      <c r="G82">
        <v>164</v>
      </c>
      <c r="H82">
        <v>20.32</v>
      </c>
      <c r="I82">
        <v>2.17</v>
      </c>
      <c r="J82" s="1"/>
      <c r="S82" s="1"/>
    </row>
    <row r="83" spans="1:19">
      <c r="A83" s="1">
        <v>44743</v>
      </c>
      <c r="B83" t="s">
        <v>10</v>
      </c>
      <c r="C83">
        <v>411001</v>
      </c>
      <c r="D83" t="s">
        <v>72</v>
      </c>
      <c r="E83" t="s">
        <v>66</v>
      </c>
      <c r="F83">
        <v>27.98</v>
      </c>
      <c r="G83">
        <v>173</v>
      </c>
      <c r="H83">
        <v>16.170000000000002</v>
      </c>
      <c r="I83">
        <v>1.38</v>
      </c>
      <c r="J83" s="1"/>
      <c r="S83" s="1"/>
    </row>
    <row r="84" spans="1:19">
      <c r="A84" s="1">
        <v>44743</v>
      </c>
      <c r="B84" t="s">
        <v>10</v>
      </c>
      <c r="C84">
        <v>380001</v>
      </c>
      <c r="D84" t="s">
        <v>73</v>
      </c>
      <c r="E84" t="s">
        <v>66</v>
      </c>
      <c r="F84">
        <v>19.440000000000001</v>
      </c>
      <c r="G84">
        <v>175</v>
      </c>
      <c r="H84">
        <v>11.11</v>
      </c>
      <c r="I84">
        <v>0.89</v>
      </c>
      <c r="J84" s="1"/>
      <c r="S84" s="1"/>
    </row>
    <row r="85" spans="1:19">
      <c r="A85" s="1">
        <v>44743</v>
      </c>
      <c r="B85" t="s">
        <v>10</v>
      </c>
      <c r="C85">
        <v>302001</v>
      </c>
      <c r="D85" t="s">
        <v>74</v>
      </c>
      <c r="E85" t="s">
        <v>66</v>
      </c>
      <c r="F85">
        <v>15.29</v>
      </c>
      <c r="G85">
        <v>182</v>
      </c>
      <c r="H85">
        <v>8.4</v>
      </c>
      <c r="I85">
        <v>0.7</v>
      </c>
      <c r="J85" s="1"/>
      <c r="S85" s="1"/>
    </row>
    <row r="86" spans="1:19">
      <c r="A86" s="1">
        <v>44743</v>
      </c>
      <c r="B86" t="s">
        <v>10</v>
      </c>
      <c r="C86">
        <v>226001</v>
      </c>
      <c r="D86" t="s">
        <v>75</v>
      </c>
      <c r="E86" t="s">
        <v>66</v>
      </c>
      <c r="F86">
        <v>24.77</v>
      </c>
      <c r="G86">
        <v>162</v>
      </c>
      <c r="H86">
        <v>15.29</v>
      </c>
      <c r="I86">
        <v>1.45</v>
      </c>
      <c r="J86" s="1"/>
      <c r="S86" s="1"/>
    </row>
    <row r="87" spans="1:19">
      <c r="A87" s="1">
        <v>44743</v>
      </c>
      <c r="B87" t="s">
        <v>10</v>
      </c>
      <c r="C87">
        <v>800008</v>
      </c>
      <c r="D87" t="s">
        <v>76</v>
      </c>
      <c r="E87" t="s">
        <v>66</v>
      </c>
      <c r="F87">
        <v>11.48</v>
      </c>
      <c r="G87">
        <v>212</v>
      </c>
      <c r="H87">
        <v>5.42</v>
      </c>
      <c r="I87">
        <v>0.55000000000000004</v>
      </c>
      <c r="J87" s="1"/>
      <c r="S87" s="1"/>
    </row>
    <row r="88" spans="1:19">
      <c r="A88" s="1">
        <v>44743</v>
      </c>
      <c r="B88" t="s">
        <v>10</v>
      </c>
      <c r="C88">
        <v>641001</v>
      </c>
      <c r="D88" t="s">
        <v>77</v>
      </c>
      <c r="E88" t="s">
        <v>66</v>
      </c>
      <c r="F88">
        <v>11.53</v>
      </c>
      <c r="G88">
        <v>218</v>
      </c>
      <c r="H88">
        <v>5.29</v>
      </c>
      <c r="I88">
        <v>0.45</v>
      </c>
      <c r="J88" s="1"/>
      <c r="S88" s="1"/>
    </row>
    <row r="89" spans="1:19">
      <c r="A89" s="1">
        <v>44743</v>
      </c>
      <c r="B89" t="s">
        <v>10</v>
      </c>
      <c r="C89">
        <v>160017</v>
      </c>
      <c r="D89" t="s">
        <v>78</v>
      </c>
      <c r="E89" t="s">
        <v>66</v>
      </c>
      <c r="F89">
        <v>6.11</v>
      </c>
      <c r="G89">
        <v>250</v>
      </c>
      <c r="H89">
        <v>2.44</v>
      </c>
      <c r="I89">
        <v>0.22</v>
      </c>
      <c r="J89" s="1"/>
      <c r="S89" s="1"/>
    </row>
    <row r="90" spans="1:19">
      <c r="A90" s="1">
        <v>44743</v>
      </c>
      <c r="B90" t="s">
        <v>10</v>
      </c>
      <c r="C90">
        <v>122001</v>
      </c>
      <c r="D90" t="s">
        <v>79</v>
      </c>
      <c r="E90" t="s">
        <v>66</v>
      </c>
      <c r="F90">
        <v>9.3699999999999992</v>
      </c>
      <c r="G90">
        <v>231</v>
      </c>
      <c r="H90">
        <v>4.0599999999999996</v>
      </c>
      <c r="I90">
        <v>0.3</v>
      </c>
      <c r="J90" s="1"/>
      <c r="S90" s="1"/>
    </row>
    <row r="91" spans="1:19">
      <c r="A91" s="1">
        <v>44743</v>
      </c>
      <c r="B91" t="s">
        <v>10</v>
      </c>
      <c r="C91">
        <v>492001</v>
      </c>
      <c r="D91" t="s">
        <v>80</v>
      </c>
      <c r="E91" t="s">
        <v>66</v>
      </c>
      <c r="F91">
        <v>4.17</v>
      </c>
      <c r="G91">
        <v>236</v>
      </c>
      <c r="H91">
        <v>1.77</v>
      </c>
      <c r="I91">
        <v>0.16</v>
      </c>
      <c r="J91" s="1"/>
      <c r="S91" s="1"/>
    </row>
    <row r="92" spans="1:19">
      <c r="A92" s="1">
        <v>44774</v>
      </c>
      <c r="B92" t="s">
        <v>10</v>
      </c>
      <c r="C92">
        <v>400001</v>
      </c>
      <c r="D92" t="s">
        <v>65</v>
      </c>
      <c r="E92" t="s">
        <v>66</v>
      </c>
      <c r="F92">
        <v>58.35</v>
      </c>
      <c r="G92">
        <v>248</v>
      </c>
      <c r="H92">
        <v>23.53</v>
      </c>
      <c r="I92">
        <v>1.85</v>
      </c>
      <c r="J92" s="1"/>
      <c r="S92" s="1"/>
    </row>
    <row r="93" spans="1:19">
      <c r="A93" s="1">
        <v>44774</v>
      </c>
      <c r="B93" t="s">
        <v>10</v>
      </c>
      <c r="C93">
        <v>110001</v>
      </c>
      <c r="D93" t="s">
        <v>67</v>
      </c>
      <c r="E93" t="s">
        <v>66</v>
      </c>
      <c r="F93">
        <v>48.93</v>
      </c>
      <c r="G93">
        <v>202</v>
      </c>
      <c r="H93">
        <v>24.22</v>
      </c>
      <c r="I93">
        <v>2.37</v>
      </c>
      <c r="J93" s="1"/>
      <c r="S93" s="1"/>
    </row>
    <row r="94" spans="1:19">
      <c r="A94" s="1">
        <v>44774</v>
      </c>
      <c r="B94" t="s">
        <v>10</v>
      </c>
      <c r="C94">
        <v>700001</v>
      </c>
      <c r="D94" t="s">
        <v>68</v>
      </c>
      <c r="E94" t="s">
        <v>66</v>
      </c>
      <c r="F94">
        <v>69</v>
      </c>
      <c r="G94">
        <v>195</v>
      </c>
      <c r="H94">
        <v>35.380000000000003</v>
      </c>
      <c r="I94">
        <v>3.57</v>
      </c>
      <c r="J94" s="1"/>
      <c r="S94" s="1"/>
    </row>
    <row r="95" spans="1:19">
      <c r="A95" s="1">
        <v>44774</v>
      </c>
      <c r="B95" t="s">
        <v>10</v>
      </c>
      <c r="C95">
        <v>560001</v>
      </c>
      <c r="D95" t="s">
        <v>69</v>
      </c>
      <c r="E95" t="s">
        <v>66</v>
      </c>
      <c r="F95">
        <v>43.59</v>
      </c>
      <c r="G95">
        <v>183</v>
      </c>
      <c r="H95">
        <v>23.82</v>
      </c>
      <c r="I95">
        <v>1.81</v>
      </c>
      <c r="J95" s="1"/>
      <c r="S95" s="1"/>
    </row>
    <row r="96" spans="1:19">
      <c r="A96" s="1">
        <v>44774</v>
      </c>
      <c r="B96" t="s">
        <v>10</v>
      </c>
      <c r="C96">
        <v>600001</v>
      </c>
      <c r="D96" t="s">
        <v>70</v>
      </c>
      <c r="E96" t="s">
        <v>66</v>
      </c>
      <c r="F96">
        <v>30.27</v>
      </c>
      <c r="G96">
        <v>209</v>
      </c>
      <c r="H96">
        <v>14.48</v>
      </c>
      <c r="I96">
        <v>1.18</v>
      </c>
      <c r="J96" s="1"/>
      <c r="S96" s="1"/>
    </row>
    <row r="97" spans="1:19">
      <c r="A97" s="1">
        <v>44774</v>
      </c>
      <c r="B97" t="s">
        <v>10</v>
      </c>
      <c r="C97">
        <v>500001</v>
      </c>
      <c r="D97" t="s">
        <v>71</v>
      </c>
      <c r="E97" t="s">
        <v>66</v>
      </c>
      <c r="F97">
        <v>28.35</v>
      </c>
      <c r="G97">
        <v>231</v>
      </c>
      <c r="H97">
        <v>12.27</v>
      </c>
      <c r="I97">
        <v>1.27</v>
      </c>
      <c r="J97" s="1"/>
      <c r="S97" s="1"/>
    </row>
    <row r="98" spans="1:19">
      <c r="A98" s="1">
        <v>44774</v>
      </c>
      <c r="B98" t="s">
        <v>10</v>
      </c>
      <c r="C98">
        <v>411001</v>
      </c>
      <c r="D98" t="s">
        <v>72</v>
      </c>
      <c r="E98" t="s">
        <v>66</v>
      </c>
      <c r="F98">
        <v>31.66</v>
      </c>
      <c r="G98">
        <v>161</v>
      </c>
      <c r="H98">
        <v>19.66</v>
      </c>
      <c r="I98">
        <v>1.76</v>
      </c>
      <c r="J98" s="1"/>
      <c r="S98" s="1"/>
    </row>
    <row r="99" spans="1:19">
      <c r="A99" s="1">
        <v>44774</v>
      </c>
      <c r="B99" t="s">
        <v>10</v>
      </c>
      <c r="C99">
        <v>380001</v>
      </c>
      <c r="D99" t="s">
        <v>73</v>
      </c>
      <c r="E99" t="s">
        <v>66</v>
      </c>
      <c r="F99">
        <v>29.23</v>
      </c>
      <c r="G99">
        <v>224</v>
      </c>
      <c r="H99">
        <v>13.05</v>
      </c>
      <c r="I99">
        <v>1.22</v>
      </c>
      <c r="J99" s="1"/>
      <c r="S99" s="1"/>
    </row>
    <row r="100" spans="1:19">
      <c r="A100" s="1">
        <v>44774</v>
      </c>
      <c r="B100" t="s">
        <v>10</v>
      </c>
      <c r="C100">
        <v>302001</v>
      </c>
      <c r="D100" t="s">
        <v>74</v>
      </c>
      <c r="E100" t="s">
        <v>66</v>
      </c>
      <c r="F100">
        <v>17.71</v>
      </c>
      <c r="G100">
        <v>175</v>
      </c>
      <c r="H100">
        <v>10.119999999999999</v>
      </c>
      <c r="I100">
        <v>1.03</v>
      </c>
      <c r="J100" s="1"/>
      <c r="S100" s="1"/>
    </row>
    <row r="101" spans="1:19">
      <c r="A101" s="1">
        <v>44774</v>
      </c>
      <c r="B101" t="s">
        <v>10</v>
      </c>
      <c r="C101">
        <v>226001</v>
      </c>
      <c r="D101" t="s">
        <v>75</v>
      </c>
      <c r="E101" t="s">
        <v>66</v>
      </c>
      <c r="F101">
        <v>15.67</v>
      </c>
      <c r="G101">
        <v>248</v>
      </c>
      <c r="H101">
        <v>6.32</v>
      </c>
      <c r="I101">
        <v>0.57999999999999996</v>
      </c>
      <c r="J101" s="1"/>
      <c r="S101" s="1"/>
    </row>
    <row r="102" spans="1:19">
      <c r="A102" s="1">
        <v>44774</v>
      </c>
      <c r="B102" t="s">
        <v>10</v>
      </c>
      <c r="C102">
        <v>800008</v>
      </c>
      <c r="D102" t="s">
        <v>76</v>
      </c>
      <c r="E102" t="s">
        <v>66</v>
      </c>
      <c r="F102">
        <v>11.05</v>
      </c>
      <c r="G102">
        <v>212</v>
      </c>
      <c r="H102">
        <v>5.21</v>
      </c>
      <c r="I102">
        <v>0.52</v>
      </c>
      <c r="J102" s="1"/>
      <c r="S102" s="1"/>
    </row>
    <row r="103" spans="1:19">
      <c r="A103" s="1">
        <v>44774</v>
      </c>
      <c r="B103" t="s">
        <v>10</v>
      </c>
      <c r="C103">
        <v>641001</v>
      </c>
      <c r="D103" t="s">
        <v>77</v>
      </c>
      <c r="E103" t="s">
        <v>66</v>
      </c>
      <c r="F103">
        <v>17.7</v>
      </c>
      <c r="G103">
        <v>235</v>
      </c>
      <c r="H103">
        <v>7.53</v>
      </c>
      <c r="I103">
        <v>0.72</v>
      </c>
      <c r="J103" s="1"/>
      <c r="S103" s="1"/>
    </row>
    <row r="104" spans="1:19">
      <c r="A104" s="1">
        <v>44774</v>
      </c>
      <c r="B104" t="s">
        <v>10</v>
      </c>
      <c r="C104">
        <v>160017</v>
      </c>
      <c r="D104" t="s">
        <v>78</v>
      </c>
      <c r="E104" t="s">
        <v>66</v>
      </c>
      <c r="F104">
        <v>7.67</v>
      </c>
      <c r="G104">
        <v>191</v>
      </c>
      <c r="H104">
        <v>4.0199999999999996</v>
      </c>
      <c r="I104">
        <v>0.39</v>
      </c>
      <c r="J104" s="1"/>
      <c r="S104" s="1"/>
    </row>
    <row r="105" spans="1:19">
      <c r="A105" s="1">
        <v>44774</v>
      </c>
      <c r="B105" t="s">
        <v>10</v>
      </c>
      <c r="C105">
        <v>122001</v>
      </c>
      <c r="D105" t="s">
        <v>79</v>
      </c>
      <c r="E105" t="s">
        <v>66</v>
      </c>
      <c r="F105">
        <v>6.31</v>
      </c>
      <c r="G105">
        <v>192</v>
      </c>
      <c r="H105">
        <v>3.29</v>
      </c>
      <c r="I105">
        <v>0.26</v>
      </c>
      <c r="J105" s="1"/>
      <c r="S105" s="1"/>
    </row>
    <row r="106" spans="1:19">
      <c r="A106" s="1">
        <v>44774</v>
      </c>
      <c r="B106" t="s">
        <v>10</v>
      </c>
      <c r="C106">
        <v>492001</v>
      </c>
      <c r="D106" t="s">
        <v>80</v>
      </c>
      <c r="E106" t="s">
        <v>66</v>
      </c>
      <c r="F106">
        <v>3.59</v>
      </c>
      <c r="G106">
        <v>237</v>
      </c>
      <c r="H106">
        <v>1.51</v>
      </c>
      <c r="I106">
        <v>0.14000000000000001</v>
      </c>
      <c r="J106" s="1"/>
      <c r="S106" s="1"/>
    </row>
    <row r="107" spans="1:19">
      <c r="A107" s="1">
        <v>44805</v>
      </c>
      <c r="B107" t="s">
        <v>10</v>
      </c>
      <c r="C107">
        <v>400001</v>
      </c>
      <c r="D107" t="s">
        <v>65</v>
      </c>
      <c r="E107" t="s">
        <v>66</v>
      </c>
      <c r="F107">
        <v>64.81</v>
      </c>
      <c r="G107">
        <v>240</v>
      </c>
      <c r="H107">
        <v>27</v>
      </c>
      <c r="I107">
        <v>2.25</v>
      </c>
      <c r="J107" s="1"/>
      <c r="S107" s="1"/>
    </row>
    <row r="108" spans="1:19">
      <c r="A108" s="1">
        <v>44805</v>
      </c>
      <c r="B108" t="s">
        <v>10</v>
      </c>
      <c r="C108">
        <v>110001</v>
      </c>
      <c r="D108" t="s">
        <v>67</v>
      </c>
      <c r="E108" t="s">
        <v>66</v>
      </c>
      <c r="F108">
        <v>48.47</v>
      </c>
      <c r="G108">
        <v>218</v>
      </c>
      <c r="H108">
        <v>22.23</v>
      </c>
      <c r="I108">
        <v>2.2200000000000002</v>
      </c>
      <c r="J108" s="1"/>
      <c r="S108" s="1"/>
    </row>
    <row r="109" spans="1:19">
      <c r="A109" s="1">
        <v>44805</v>
      </c>
      <c r="B109" t="s">
        <v>10</v>
      </c>
      <c r="C109">
        <v>700001</v>
      </c>
      <c r="D109" t="s">
        <v>68</v>
      </c>
      <c r="E109" t="s">
        <v>66</v>
      </c>
      <c r="F109">
        <v>47.95</v>
      </c>
      <c r="G109">
        <v>209</v>
      </c>
      <c r="H109">
        <v>22.94</v>
      </c>
      <c r="I109">
        <v>1.73</v>
      </c>
      <c r="J109" s="1"/>
      <c r="S109" s="1"/>
    </row>
    <row r="110" spans="1:19">
      <c r="A110" s="1">
        <v>44805</v>
      </c>
      <c r="B110" t="s">
        <v>10</v>
      </c>
      <c r="C110">
        <v>560001</v>
      </c>
      <c r="D110" t="s">
        <v>69</v>
      </c>
      <c r="E110" t="s">
        <v>66</v>
      </c>
      <c r="F110">
        <v>42.22</v>
      </c>
      <c r="G110">
        <v>225</v>
      </c>
      <c r="H110">
        <v>18.760000000000002</v>
      </c>
      <c r="I110">
        <v>1.92</v>
      </c>
      <c r="J110" s="1"/>
      <c r="S110" s="1"/>
    </row>
    <row r="111" spans="1:19">
      <c r="A111" s="1">
        <v>44805</v>
      </c>
      <c r="B111" t="s">
        <v>10</v>
      </c>
      <c r="C111">
        <v>600001</v>
      </c>
      <c r="D111" t="s">
        <v>70</v>
      </c>
      <c r="E111" t="s">
        <v>66</v>
      </c>
      <c r="F111">
        <v>31.55</v>
      </c>
      <c r="G111">
        <v>188</v>
      </c>
      <c r="H111">
        <v>16.78</v>
      </c>
      <c r="I111">
        <v>1.73</v>
      </c>
      <c r="J111" s="1"/>
      <c r="S111" s="1"/>
    </row>
    <row r="112" spans="1:19">
      <c r="A112" s="1">
        <v>44805</v>
      </c>
      <c r="B112" t="s">
        <v>10</v>
      </c>
      <c r="C112">
        <v>500001</v>
      </c>
      <c r="D112" t="s">
        <v>71</v>
      </c>
      <c r="E112" t="s">
        <v>66</v>
      </c>
      <c r="F112">
        <v>27.34</v>
      </c>
      <c r="G112">
        <v>250</v>
      </c>
      <c r="H112">
        <v>10.94</v>
      </c>
      <c r="I112">
        <v>0.87</v>
      </c>
      <c r="J112" s="1"/>
      <c r="S112" s="1"/>
    </row>
    <row r="113" spans="1:19">
      <c r="A113" s="1">
        <v>44805</v>
      </c>
      <c r="B113" t="s">
        <v>10</v>
      </c>
      <c r="C113">
        <v>411001</v>
      </c>
      <c r="D113" t="s">
        <v>72</v>
      </c>
      <c r="E113" t="s">
        <v>66</v>
      </c>
      <c r="F113">
        <v>45.79</v>
      </c>
      <c r="G113">
        <v>164</v>
      </c>
      <c r="H113">
        <v>27.92</v>
      </c>
      <c r="I113">
        <v>2.3199999999999998</v>
      </c>
      <c r="J113" s="1"/>
      <c r="S113" s="1"/>
    </row>
    <row r="114" spans="1:19">
      <c r="A114" s="1">
        <v>44805</v>
      </c>
      <c r="B114" t="s">
        <v>10</v>
      </c>
      <c r="C114">
        <v>380001</v>
      </c>
      <c r="D114" t="s">
        <v>73</v>
      </c>
      <c r="E114" t="s">
        <v>66</v>
      </c>
      <c r="F114">
        <v>23.07</v>
      </c>
      <c r="G114">
        <v>255</v>
      </c>
      <c r="H114">
        <v>9.0500000000000007</v>
      </c>
      <c r="I114">
        <v>0.65</v>
      </c>
      <c r="J114" s="1"/>
      <c r="S114" s="1"/>
    </row>
    <row r="115" spans="1:19">
      <c r="A115" s="1">
        <v>44805</v>
      </c>
      <c r="B115" t="s">
        <v>10</v>
      </c>
      <c r="C115">
        <v>302001</v>
      </c>
      <c r="D115" t="s">
        <v>74</v>
      </c>
      <c r="E115" t="s">
        <v>66</v>
      </c>
      <c r="F115">
        <v>14.93</v>
      </c>
      <c r="G115">
        <v>229</v>
      </c>
      <c r="H115">
        <v>6.52</v>
      </c>
      <c r="I115">
        <v>0.71</v>
      </c>
      <c r="J115" s="1"/>
      <c r="S115" s="1"/>
    </row>
    <row r="116" spans="1:19">
      <c r="A116" s="1">
        <v>44805</v>
      </c>
      <c r="B116" t="s">
        <v>10</v>
      </c>
      <c r="C116">
        <v>226001</v>
      </c>
      <c r="D116" t="s">
        <v>75</v>
      </c>
      <c r="E116" t="s">
        <v>66</v>
      </c>
      <c r="F116">
        <v>13.28</v>
      </c>
      <c r="G116">
        <v>249</v>
      </c>
      <c r="H116">
        <v>5.33</v>
      </c>
      <c r="I116">
        <v>0.44</v>
      </c>
      <c r="J116" s="1"/>
      <c r="S116" s="1"/>
    </row>
    <row r="117" spans="1:19">
      <c r="A117" s="1">
        <v>44805</v>
      </c>
      <c r="B117" t="s">
        <v>10</v>
      </c>
      <c r="C117">
        <v>800008</v>
      </c>
      <c r="D117" t="s">
        <v>76</v>
      </c>
      <c r="E117" t="s">
        <v>66</v>
      </c>
      <c r="F117">
        <v>11.86</v>
      </c>
      <c r="G117">
        <v>250</v>
      </c>
      <c r="H117">
        <v>4.74</v>
      </c>
      <c r="I117">
        <v>0.38</v>
      </c>
      <c r="J117" s="1"/>
      <c r="S117" s="1"/>
    </row>
    <row r="118" spans="1:19">
      <c r="A118" s="1">
        <v>44805</v>
      </c>
      <c r="B118" t="s">
        <v>10</v>
      </c>
      <c r="C118">
        <v>641001</v>
      </c>
      <c r="D118" t="s">
        <v>77</v>
      </c>
      <c r="E118" t="s">
        <v>66</v>
      </c>
      <c r="F118">
        <v>8.59</v>
      </c>
      <c r="G118">
        <v>177</v>
      </c>
      <c r="H118">
        <v>4.8499999999999996</v>
      </c>
      <c r="I118">
        <v>0.53</v>
      </c>
      <c r="J118" s="1"/>
      <c r="S118" s="1"/>
    </row>
    <row r="119" spans="1:19">
      <c r="A119" s="1">
        <v>44805</v>
      </c>
      <c r="B119" t="s">
        <v>10</v>
      </c>
      <c r="C119">
        <v>160017</v>
      </c>
      <c r="D119" t="s">
        <v>78</v>
      </c>
      <c r="E119" t="s">
        <v>66</v>
      </c>
      <c r="F119">
        <v>10.32</v>
      </c>
      <c r="G119">
        <v>163</v>
      </c>
      <c r="H119">
        <v>6.33</v>
      </c>
      <c r="I119">
        <v>0.63</v>
      </c>
      <c r="J119" s="1"/>
      <c r="S119" s="1"/>
    </row>
    <row r="120" spans="1:19">
      <c r="A120" s="1">
        <v>44805</v>
      </c>
      <c r="B120" t="s">
        <v>10</v>
      </c>
      <c r="C120">
        <v>122001</v>
      </c>
      <c r="D120" t="s">
        <v>79</v>
      </c>
      <c r="E120" t="s">
        <v>66</v>
      </c>
      <c r="F120">
        <v>6.35</v>
      </c>
      <c r="G120">
        <v>238</v>
      </c>
      <c r="H120">
        <v>2.67</v>
      </c>
      <c r="I120">
        <v>0.21</v>
      </c>
      <c r="J120" s="1"/>
      <c r="S120" s="1"/>
    </row>
    <row r="121" spans="1:19">
      <c r="A121" s="1">
        <v>44805</v>
      </c>
      <c r="B121" t="s">
        <v>10</v>
      </c>
      <c r="C121">
        <v>492001</v>
      </c>
      <c r="D121" t="s">
        <v>80</v>
      </c>
      <c r="E121" t="s">
        <v>66</v>
      </c>
      <c r="F121">
        <v>3.73</v>
      </c>
      <c r="G121">
        <v>173</v>
      </c>
      <c r="H121">
        <v>2.16</v>
      </c>
      <c r="I121">
        <v>0.18</v>
      </c>
      <c r="J121" s="1"/>
      <c r="S121" s="1"/>
    </row>
    <row r="122" spans="1:19">
      <c r="J122" s="1"/>
      <c r="S122" s="1"/>
    </row>
    <row r="123" spans="1:19">
      <c r="J123" s="1"/>
      <c r="S123" s="1"/>
    </row>
    <row r="124" spans="1:19">
      <c r="J124" s="1"/>
      <c r="S124" s="1"/>
    </row>
    <row r="125" spans="1:19">
      <c r="J125" s="1"/>
      <c r="S125" s="1"/>
    </row>
    <row r="126" spans="1:19">
      <c r="J126" s="1"/>
      <c r="S126" s="1"/>
    </row>
    <row r="127" spans="1:19">
      <c r="J127" s="1"/>
      <c r="S127" s="1"/>
    </row>
    <row r="128" spans="1:19">
      <c r="J128" s="1"/>
      <c r="S128" s="1"/>
    </row>
    <row r="129" spans="10:19">
      <c r="J129" s="1"/>
      <c r="S129" s="1"/>
    </row>
    <row r="130" spans="10:19">
      <c r="J130" s="1"/>
      <c r="S130" s="1"/>
    </row>
    <row r="131" spans="10:19">
      <c r="J131" s="1"/>
      <c r="S131" s="1"/>
    </row>
    <row r="132" spans="10:19">
      <c r="J132" s="1"/>
      <c r="S132" s="1"/>
    </row>
    <row r="133" spans="10:19">
      <c r="J133" s="1"/>
      <c r="S133" s="1"/>
    </row>
    <row r="134" spans="10:19">
      <c r="J134" s="1"/>
      <c r="S134" s="1"/>
    </row>
    <row r="135" spans="10:19">
      <c r="J135" s="1"/>
      <c r="S135" s="1"/>
    </row>
    <row r="136" spans="10:19">
      <c r="J136" s="1"/>
      <c r="S136" s="1"/>
    </row>
    <row r="137" spans="10:19">
      <c r="J137" s="1"/>
      <c r="S137" s="1"/>
    </row>
    <row r="138" spans="10:19">
      <c r="J138" s="1"/>
      <c r="S138" s="1"/>
    </row>
    <row r="139" spans="10:19">
      <c r="J139" s="1"/>
      <c r="S139" s="1"/>
    </row>
    <row r="140" spans="10:19">
      <c r="J140" s="1"/>
      <c r="S140" s="1"/>
    </row>
    <row r="141" spans="10:19">
      <c r="J141" s="1"/>
      <c r="S141" s="1"/>
    </row>
    <row r="142" spans="10:19">
      <c r="J142" s="1"/>
      <c r="S142" s="1"/>
    </row>
    <row r="143" spans="10:19">
      <c r="J143" s="1"/>
      <c r="S143" s="1"/>
    </row>
    <row r="144" spans="10:19">
      <c r="J144" s="1"/>
      <c r="S144" s="1"/>
    </row>
    <row r="145" spans="10:19">
      <c r="J145" s="1"/>
      <c r="S145" s="1"/>
    </row>
    <row r="146" spans="10:19">
      <c r="J146" s="1"/>
      <c r="S146" s="1"/>
    </row>
    <row r="147" spans="10:19">
      <c r="J147" s="1"/>
      <c r="S147" s="1"/>
    </row>
    <row r="148" spans="10:19">
      <c r="J148" s="1"/>
      <c r="S148" s="1"/>
    </row>
    <row r="149" spans="10:19">
      <c r="J149" s="1"/>
      <c r="S149" s="1"/>
    </row>
    <row r="150" spans="10:19">
      <c r="J150" s="1"/>
      <c r="S150" s="1"/>
    </row>
    <row r="151" spans="10:19">
      <c r="J151" s="1"/>
      <c r="S151" s="1"/>
    </row>
    <row r="152" spans="10:19">
      <c r="J152" s="1"/>
      <c r="S152" s="1"/>
    </row>
    <row r="153" spans="10:19">
      <c r="J153" s="1"/>
      <c r="S153" s="1"/>
    </row>
    <row r="154" spans="10:19">
      <c r="J154" s="1"/>
      <c r="S154" s="1"/>
    </row>
    <row r="155" spans="10:19">
      <c r="J155" s="1"/>
      <c r="S155" s="1"/>
    </row>
    <row r="156" spans="10:19">
      <c r="J156" s="1"/>
      <c r="S156" s="1"/>
    </row>
    <row r="157" spans="10:19">
      <c r="J157" s="1"/>
      <c r="S157" s="1"/>
    </row>
    <row r="158" spans="10:19">
      <c r="J158" s="1"/>
      <c r="S158" s="1"/>
    </row>
    <row r="159" spans="10:19">
      <c r="J159" s="1"/>
      <c r="S159" s="1"/>
    </row>
    <row r="160" spans="10:19">
      <c r="J160" s="1"/>
      <c r="S160" s="1"/>
    </row>
    <row r="161" spans="10:19">
      <c r="J161" s="1"/>
      <c r="S161" s="1"/>
    </row>
    <row r="162" spans="10:19">
      <c r="J162" s="1"/>
      <c r="S162" s="1"/>
    </row>
    <row r="163" spans="10:19">
      <c r="J163" s="1"/>
      <c r="S163" s="1"/>
    </row>
    <row r="164" spans="10:19">
      <c r="J164" s="1"/>
      <c r="S164" s="1"/>
    </row>
    <row r="165" spans="10:19">
      <c r="J165" s="1"/>
      <c r="S165" s="1"/>
    </row>
    <row r="166" spans="10:19">
      <c r="J166" s="1"/>
      <c r="S166" s="1"/>
    </row>
    <row r="167" spans="10:19">
      <c r="J167" s="1"/>
      <c r="S167" s="1"/>
    </row>
    <row r="168" spans="10:19">
      <c r="J168" s="1"/>
      <c r="S168" s="1"/>
    </row>
    <row r="169" spans="10:19">
      <c r="J169" s="1"/>
      <c r="S169" s="1"/>
    </row>
    <row r="170" spans="10:19">
      <c r="J170" s="1"/>
      <c r="S170" s="1"/>
    </row>
    <row r="171" spans="10:19">
      <c r="J171" s="1"/>
      <c r="S171" s="1"/>
    </row>
    <row r="172" spans="10:19">
      <c r="J172" s="1"/>
      <c r="S172" s="1"/>
    </row>
    <row r="173" spans="10:19">
      <c r="J173" s="1"/>
      <c r="S173" s="1"/>
    </row>
    <row r="174" spans="10:19">
      <c r="J174" s="1"/>
      <c r="S174" s="1"/>
    </row>
    <row r="175" spans="10:19">
      <c r="J175" s="1"/>
      <c r="S175" s="1"/>
    </row>
    <row r="176" spans="10:19">
      <c r="J176" s="1"/>
      <c r="S176" s="1"/>
    </row>
    <row r="177" spans="10:19">
      <c r="J177" s="1"/>
      <c r="S177" s="1"/>
    </row>
    <row r="178" spans="10:19">
      <c r="J178" s="1"/>
      <c r="S178" s="1"/>
    </row>
    <row r="179" spans="10:19">
      <c r="J179" s="1"/>
      <c r="S179" s="1"/>
    </row>
    <row r="180" spans="10:19">
      <c r="J180" s="1"/>
      <c r="S180" s="1"/>
    </row>
    <row r="181" spans="10:19">
      <c r="J181" s="1"/>
      <c r="S181" s="1"/>
    </row>
    <row r="182" spans="10:19">
      <c r="J182" s="1"/>
      <c r="S182" s="1"/>
    </row>
    <row r="183" spans="10:19">
      <c r="J183" s="1"/>
      <c r="S183" s="1"/>
    </row>
    <row r="184" spans="10:19">
      <c r="J184" s="1"/>
      <c r="S184" s="1"/>
    </row>
    <row r="185" spans="10:19">
      <c r="J185" s="1"/>
      <c r="S185" s="1"/>
    </row>
    <row r="186" spans="10:19">
      <c r="J186" s="1"/>
      <c r="S186" s="1"/>
    </row>
    <row r="187" spans="10:19">
      <c r="J187" s="1"/>
      <c r="S187" s="1"/>
    </row>
    <row r="188" spans="10:19">
      <c r="J188" s="1"/>
      <c r="S188" s="1"/>
    </row>
    <row r="189" spans="10:19">
      <c r="J189" s="1"/>
      <c r="S189" s="1"/>
    </row>
    <row r="190" spans="10:19">
      <c r="J190" s="1"/>
      <c r="S190" s="1"/>
    </row>
    <row r="191" spans="10:19">
      <c r="J191" s="1"/>
      <c r="S191" s="1"/>
    </row>
    <row r="192" spans="10:19">
      <c r="J192" s="1"/>
      <c r="S192" s="1"/>
    </row>
    <row r="193" spans="10:19">
      <c r="J193" s="1"/>
      <c r="S193" s="1"/>
    </row>
    <row r="194" spans="10:19">
      <c r="J194" s="1"/>
      <c r="S194" s="1"/>
    </row>
    <row r="195" spans="10:19">
      <c r="J195" s="1"/>
      <c r="S195" s="1"/>
    </row>
    <row r="196" spans="10:19">
      <c r="J196" s="1"/>
      <c r="S196" s="1"/>
    </row>
    <row r="197" spans="10:19">
      <c r="J197" s="1"/>
      <c r="S197" s="1"/>
    </row>
    <row r="198" spans="10:19">
      <c r="J198" s="1"/>
      <c r="S198" s="1"/>
    </row>
    <row r="199" spans="10:19">
      <c r="J199" s="1"/>
      <c r="S199" s="1"/>
    </row>
    <row r="200" spans="10:19">
      <c r="J200" s="1"/>
      <c r="S200" s="1"/>
    </row>
    <row r="201" spans="10:19">
      <c r="J201" s="1"/>
      <c r="S201" s="1"/>
    </row>
    <row r="202" spans="10:19">
      <c r="J202" s="1"/>
      <c r="S202" s="1"/>
    </row>
    <row r="203" spans="10:19">
      <c r="J203" s="1"/>
      <c r="S203" s="1"/>
    </row>
    <row r="204" spans="10:19">
      <c r="J204" s="1"/>
      <c r="S204" s="1"/>
    </row>
    <row r="205" spans="10:19">
      <c r="J205" s="1"/>
      <c r="S205" s="1"/>
    </row>
    <row r="206" spans="10:19">
      <c r="J206" s="1"/>
      <c r="S206" s="1"/>
    </row>
    <row r="207" spans="10:19">
      <c r="J207" s="1"/>
      <c r="S207" s="1"/>
    </row>
    <row r="208" spans="10:19">
      <c r="J208" s="1"/>
      <c r="S208" s="1"/>
    </row>
    <row r="209" spans="10:19">
      <c r="J209" s="1"/>
      <c r="S209" s="1"/>
    </row>
    <row r="210" spans="10:19">
      <c r="J210" s="1"/>
      <c r="S210" s="1"/>
    </row>
    <row r="211" spans="10:19">
      <c r="J211" s="1"/>
      <c r="S211" s="1"/>
    </row>
    <row r="212" spans="10:19">
      <c r="J212" s="1"/>
      <c r="S212" s="1"/>
    </row>
    <row r="213" spans="10:19">
      <c r="J213" s="1"/>
      <c r="S213" s="1"/>
    </row>
    <row r="214" spans="10:19">
      <c r="J214" s="1"/>
      <c r="S214" s="1"/>
    </row>
    <row r="215" spans="10:19">
      <c r="J215" s="1"/>
      <c r="S215" s="1"/>
    </row>
    <row r="216" spans="10:19">
      <c r="J216" s="1"/>
      <c r="S216" s="1"/>
    </row>
    <row r="217" spans="10:19">
      <c r="J217" s="1"/>
      <c r="S217" s="1"/>
    </row>
    <row r="218" spans="10:19">
      <c r="J218" s="1"/>
      <c r="S218" s="1"/>
    </row>
    <row r="219" spans="10:19">
      <c r="J219" s="1"/>
      <c r="S219" s="1"/>
    </row>
    <row r="220" spans="10:19">
      <c r="J220" s="1"/>
      <c r="S220" s="1"/>
    </row>
    <row r="221" spans="10:19">
      <c r="J221" s="1"/>
      <c r="S221" s="1"/>
    </row>
    <row r="222" spans="10:19">
      <c r="J222" s="1"/>
      <c r="S222" s="1"/>
    </row>
    <row r="223" spans="10:19">
      <c r="J223" s="1"/>
      <c r="S223" s="1"/>
    </row>
    <row r="224" spans="10:19">
      <c r="J224" s="1"/>
      <c r="S224" s="1"/>
    </row>
    <row r="225" spans="10:19">
      <c r="J225" s="1"/>
      <c r="S225" s="1"/>
    </row>
    <row r="226" spans="10:19">
      <c r="J226" s="1"/>
      <c r="S226" s="1"/>
    </row>
    <row r="227" spans="10:19">
      <c r="J227" s="1"/>
      <c r="S227" s="1"/>
    </row>
    <row r="228" spans="10:19">
      <c r="J228" s="1"/>
      <c r="S228" s="1"/>
    </row>
    <row r="229" spans="10:19">
      <c r="J229" s="1"/>
      <c r="S229" s="1"/>
    </row>
    <row r="230" spans="10:19">
      <c r="J230" s="1"/>
      <c r="S230" s="1"/>
    </row>
    <row r="231" spans="10:19">
      <c r="J231" s="1"/>
      <c r="S231" s="1"/>
    </row>
    <row r="232" spans="10:19">
      <c r="J232" s="1"/>
      <c r="S232" s="1"/>
    </row>
    <row r="233" spans="10:19">
      <c r="J233" s="1"/>
      <c r="S233" s="1"/>
    </row>
    <row r="234" spans="10:19">
      <c r="J234" s="1"/>
      <c r="S234" s="1"/>
    </row>
    <row r="235" spans="10:19">
      <c r="J235" s="1"/>
      <c r="S235" s="1"/>
    </row>
    <row r="236" spans="10:19">
      <c r="J236" s="1"/>
      <c r="S236" s="1"/>
    </row>
    <row r="237" spans="10:19">
      <c r="J237" s="1"/>
      <c r="S237" s="1"/>
    </row>
    <row r="238" spans="10:19">
      <c r="J238" s="1"/>
      <c r="S238" s="1"/>
    </row>
    <row r="239" spans="10:19">
      <c r="J239" s="1"/>
      <c r="S239" s="1"/>
    </row>
    <row r="240" spans="10:19">
      <c r="J240" s="1"/>
      <c r="S240" s="1"/>
    </row>
    <row r="241" spans="10:19">
      <c r="J241" s="1"/>
      <c r="S241" s="1"/>
    </row>
    <row r="242" spans="10:19">
      <c r="J242" s="1"/>
      <c r="S242" s="1"/>
    </row>
    <row r="243" spans="10:19">
      <c r="J243" s="1"/>
      <c r="S243" s="1"/>
    </row>
    <row r="244" spans="10:19">
      <c r="J244" s="1"/>
      <c r="S244" s="1"/>
    </row>
    <row r="245" spans="10:19">
      <c r="J245" s="1"/>
      <c r="S245" s="1"/>
    </row>
    <row r="246" spans="10:19">
      <c r="J246" s="1"/>
      <c r="S246" s="1"/>
    </row>
    <row r="247" spans="10:19">
      <c r="J247" s="1"/>
      <c r="S247" s="1"/>
    </row>
    <row r="248" spans="10:19">
      <c r="J248" s="1"/>
      <c r="S248" s="1"/>
    </row>
    <row r="249" spans="10:19">
      <c r="J249" s="1"/>
      <c r="S249" s="1"/>
    </row>
    <row r="250" spans="10:19">
      <c r="J250" s="1"/>
      <c r="S250" s="1"/>
    </row>
    <row r="251" spans="10:19">
      <c r="J251" s="1"/>
      <c r="S251" s="1"/>
    </row>
    <row r="252" spans="10:19">
      <c r="J252" s="1"/>
      <c r="S252" s="1"/>
    </row>
    <row r="253" spans="10:19">
      <c r="J253" s="1"/>
      <c r="S253" s="1"/>
    </row>
    <row r="254" spans="10:19">
      <c r="J254" s="1"/>
      <c r="S254" s="1"/>
    </row>
    <row r="255" spans="10:19">
      <c r="J255" s="1"/>
      <c r="S255" s="1"/>
    </row>
    <row r="256" spans="10:19">
      <c r="J256" s="1"/>
      <c r="S256" s="1"/>
    </row>
    <row r="257" spans="10:19">
      <c r="J257" s="1"/>
      <c r="S257" s="1"/>
    </row>
    <row r="258" spans="10:19">
      <c r="J258" s="1"/>
      <c r="S258" s="1"/>
    </row>
    <row r="259" spans="10:19">
      <c r="J259" s="1"/>
      <c r="S259" s="1"/>
    </row>
    <row r="260" spans="10:19">
      <c r="J260" s="1"/>
      <c r="S260" s="1"/>
    </row>
    <row r="261" spans="10:19">
      <c r="J261" s="1"/>
      <c r="S261" s="1"/>
    </row>
    <row r="262" spans="10:19">
      <c r="J262" s="1"/>
      <c r="S262" s="1"/>
    </row>
    <row r="263" spans="10:19">
      <c r="J263" s="1"/>
      <c r="S263" s="1"/>
    </row>
    <row r="264" spans="10:19">
      <c r="J264" s="1"/>
      <c r="S264" s="1"/>
    </row>
    <row r="265" spans="10:19">
      <c r="J265" s="1"/>
      <c r="S265" s="1"/>
    </row>
    <row r="266" spans="10:19">
      <c r="J266" s="1"/>
      <c r="S266" s="1"/>
    </row>
    <row r="267" spans="10:19">
      <c r="J267" s="1"/>
      <c r="S267" s="1"/>
    </row>
    <row r="268" spans="10:19">
      <c r="J268" s="1"/>
      <c r="S268" s="1"/>
    </row>
    <row r="269" spans="10:19">
      <c r="J269" s="1"/>
      <c r="S269" s="1"/>
    </row>
    <row r="270" spans="10:19">
      <c r="J270" s="1"/>
      <c r="S270" s="1"/>
    </row>
    <row r="271" spans="10:19">
      <c r="J271" s="1"/>
      <c r="S271" s="1"/>
    </row>
    <row r="272" spans="10:19">
      <c r="J272" s="1"/>
      <c r="S272" s="1"/>
    </row>
    <row r="273" spans="10:19">
      <c r="J273" s="1"/>
      <c r="S273" s="1"/>
    </row>
    <row r="274" spans="10:19">
      <c r="J274" s="1"/>
      <c r="S274" s="1"/>
    </row>
    <row r="275" spans="10:19">
      <c r="J275" s="1"/>
      <c r="S275" s="1"/>
    </row>
    <row r="276" spans="10:19">
      <c r="J276" s="1"/>
      <c r="S276" s="1"/>
    </row>
    <row r="277" spans="10:19">
      <c r="J277" s="1"/>
      <c r="S277" s="1"/>
    </row>
    <row r="278" spans="10:19">
      <c r="J278" s="1"/>
      <c r="S278" s="1"/>
    </row>
    <row r="279" spans="10:19">
      <c r="J279" s="1"/>
      <c r="S279" s="1"/>
    </row>
    <row r="280" spans="10:19">
      <c r="J280" s="1"/>
      <c r="S280" s="1"/>
    </row>
    <row r="281" spans="10:19">
      <c r="J281" s="1"/>
      <c r="S281" s="1"/>
    </row>
    <row r="282" spans="10:19">
      <c r="J282" s="1"/>
      <c r="S282" s="1"/>
    </row>
    <row r="283" spans="10:19">
      <c r="J283" s="1"/>
      <c r="S283" s="1"/>
    </row>
    <row r="284" spans="10:19">
      <c r="J284" s="1"/>
      <c r="S284" s="1"/>
    </row>
    <row r="285" spans="10:19">
      <c r="J285" s="1"/>
      <c r="S285" s="1"/>
    </row>
    <row r="286" spans="10:19">
      <c r="J286" s="1"/>
      <c r="S286" s="1"/>
    </row>
    <row r="287" spans="10:19">
      <c r="J287" s="1"/>
      <c r="S287" s="1"/>
    </row>
    <row r="288" spans="10:19">
      <c r="J288" s="1"/>
      <c r="S288" s="1"/>
    </row>
    <row r="289" spans="10:19">
      <c r="J289" s="1"/>
      <c r="S289" s="1"/>
    </row>
    <row r="290" spans="10:19">
      <c r="J290" s="1"/>
      <c r="S290" s="1"/>
    </row>
    <row r="291" spans="10:19">
      <c r="J291" s="1"/>
      <c r="S291" s="1"/>
    </row>
    <row r="292" spans="10:19">
      <c r="J292" s="1"/>
      <c r="S292" s="1"/>
    </row>
    <row r="293" spans="10:19">
      <c r="J293" s="1"/>
      <c r="S293" s="1"/>
    </row>
    <row r="294" spans="10:19">
      <c r="J294" s="1"/>
      <c r="S294" s="1"/>
    </row>
    <row r="295" spans="10:19">
      <c r="J295" s="1"/>
      <c r="S295" s="1"/>
    </row>
    <row r="296" spans="10:19">
      <c r="J296" s="1"/>
      <c r="S296" s="1"/>
    </row>
    <row r="297" spans="10:19">
      <c r="J297" s="1"/>
      <c r="S297" s="1"/>
    </row>
    <row r="298" spans="10:19">
      <c r="J298" s="1"/>
      <c r="S298" s="1"/>
    </row>
    <row r="299" spans="10:19">
      <c r="J299" s="1"/>
      <c r="S299" s="1"/>
    </row>
    <row r="300" spans="10:19">
      <c r="J300" s="1"/>
      <c r="S300" s="1"/>
    </row>
    <row r="301" spans="10:19">
      <c r="J301" s="1"/>
      <c r="S301" s="1"/>
    </row>
    <row r="302" spans="10:19">
      <c r="J302" s="1"/>
      <c r="S302" s="1"/>
    </row>
    <row r="303" spans="10:19">
      <c r="J303" s="1"/>
      <c r="S303" s="1"/>
    </row>
    <row r="304" spans="10:19">
      <c r="J304" s="1"/>
      <c r="S304" s="1"/>
    </row>
    <row r="305" spans="10:19">
      <c r="J305" s="1"/>
      <c r="S305" s="1"/>
    </row>
    <row r="306" spans="10:19">
      <c r="J306" s="1"/>
      <c r="S306" s="1"/>
    </row>
    <row r="307" spans="10:19">
      <c r="J307" s="1"/>
      <c r="S307" s="1"/>
    </row>
    <row r="308" spans="10:19">
      <c r="J308" s="1"/>
      <c r="S308" s="1"/>
    </row>
    <row r="309" spans="10:19">
      <c r="J309" s="1"/>
      <c r="S309" s="1"/>
    </row>
    <row r="310" spans="10:19">
      <c r="J310" s="1"/>
      <c r="S310" s="1"/>
    </row>
    <row r="311" spans="10:19">
      <c r="J311" s="1"/>
      <c r="S311" s="1"/>
    </row>
    <row r="312" spans="10:19">
      <c r="J312" s="1"/>
      <c r="S312" s="1"/>
    </row>
    <row r="313" spans="10:19">
      <c r="J313" s="1"/>
      <c r="S313" s="1"/>
    </row>
    <row r="314" spans="10:19">
      <c r="J314" s="1"/>
      <c r="S314" s="1"/>
    </row>
    <row r="315" spans="10:19">
      <c r="J315" s="1"/>
      <c r="S315" s="1"/>
    </row>
    <row r="316" spans="10:19">
      <c r="J316" s="1"/>
      <c r="S316" s="1"/>
    </row>
    <row r="317" spans="10:19">
      <c r="J317" s="1"/>
      <c r="S317" s="1"/>
    </row>
    <row r="318" spans="10:19">
      <c r="J318" s="1"/>
      <c r="S318" s="1"/>
    </row>
    <row r="319" spans="10:19">
      <c r="J319" s="1"/>
      <c r="S319" s="1"/>
    </row>
    <row r="320" spans="10:19">
      <c r="J320" s="1"/>
      <c r="S320" s="1"/>
    </row>
    <row r="321" spans="10:19">
      <c r="J321" s="1"/>
      <c r="S321" s="1"/>
    </row>
    <row r="322" spans="10:19">
      <c r="J322" s="1"/>
      <c r="S322" s="1"/>
    </row>
    <row r="323" spans="10:19">
      <c r="J323" s="1"/>
      <c r="S323" s="1"/>
    </row>
    <row r="324" spans="10:19">
      <c r="J324" s="1"/>
      <c r="S324" s="1"/>
    </row>
    <row r="325" spans="10:19">
      <c r="J325" s="1"/>
      <c r="S325" s="1"/>
    </row>
    <row r="326" spans="10:19">
      <c r="J326" s="1"/>
      <c r="S326" s="1"/>
    </row>
    <row r="327" spans="10:19">
      <c r="J327" s="1"/>
      <c r="S327" s="1"/>
    </row>
    <row r="328" spans="10:19">
      <c r="J328" s="1"/>
      <c r="S328" s="1"/>
    </row>
    <row r="329" spans="10:19">
      <c r="J329" s="1"/>
      <c r="S329" s="1"/>
    </row>
    <row r="330" spans="10:19">
      <c r="J330" s="1"/>
      <c r="S330" s="1"/>
    </row>
    <row r="331" spans="10:19">
      <c r="J331" s="1"/>
      <c r="S331" s="1"/>
    </row>
    <row r="332" spans="10:19">
      <c r="J332" s="1"/>
      <c r="S332" s="1"/>
    </row>
    <row r="333" spans="10:19">
      <c r="J333" s="1"/>
      <c r="S333" s="1"/>
    </row>
    <row r="334" spans="10:19">
      <c r="J334" s="1"/>
      <c r="S334" s="1"/>
    </row>
    <row r="335" spans="10:19">
      <c r="J335" s="1"/>
      <c r="S335" s="1"/>
    </row>
    <row r="336" spans="10:19">
      <c r="J336" s="1"/>
      <c r="S336" s="1"/>
    </row>
    <row r="337" spans="10:19">
      <c r="J337" s="1"/>
      <c r="S337" s="1"/>
    </row>
    <row r="338" spans="10:19">
      <c r="J338" s="1"/>
      <c r="S338" s="1"/>
    </row>
    <row r="339" spans="10:19">
      <c r="J339" s="1"/>
      <c r="S339" s="1"/>
    </row>
    <row r="340" spans="10:19">
      <c r="J340" s="1"/>
      <c r="S340" s="1"/>
    </row>
    <row r="341" spans="10:19">
      <c r="J341" s="1"/>
      <c r="S341" s="1"/>
    </row>
    <row r="342" spans="10:19">
      <c r="J342" s="1"/>
      <c r="S342" s="1"/>
    </row>
    <row r="343" spans="10:19">
      <c r="J343" s="1"/>
      <c r="S343" s="1"/>
    </row>
    <row r="344" spans="10:19">
      <c r="J344" s="1"/>
      <c r="S344" s="1"/>
    </row>
    <row r="345" spans="10:19">
      <c r="J345" s="1"/>
      <c r="S345" s="1"/>
    </row>
    <row r="346" spans="10:19">
      <c r="J346" s="1"/>
      <c r="S346" s="1"/>
    </row>
    <row r="347" spans="10:19">
      <c r="J347" s="1"/>
      <c r="S347" s="1"/>
    </row>
    <row r="348" spans="10:19">
      <c r="J348" s="1"/>
      <c r="S348" s="1"/>
    </row>
    <row r="349" spans="10:19">
      <c r="J349" s="1"/>
      <c r="S349" s="1"/>
    </row>
    <row r="350" spans="10:19">
      <c r="J350" s="1"/>
      <c r="S350" s="1"/>
    </row>
    <row r="351" spans="10:19">
      <c r="J351" s="1"/>
      <c r="S351" s="1"/>
    </row>
    <row r="352" spans="10:19">
      <c r="J352" s="1"/>
      <c r="S352" s="1"/>
    </row>
    <row r="353" spans="10:19">
      <c r="J353" s="1"/>
      <c r="S353" s="1"/>
    </row>
    <row r="354" spans="10:19">
      <c r="J354" s="1"/>
      <c r="S354" s="1"/>
    </row>
    <row r="355" spans="10:19">
      <c r="J355" s="1"/>
      <c r="S355" s="1"/>
    </row>
    <row r="356" spans="10:19">
      <c r="J356" s="1"/>
      <c r="S356" s="1"/>
    </row>
    <row r="357" spans="10:19">
      <c r="J357" s="1"/>
      <c r="S357" s="1"/>
    </row>
    <row r="358" spans="10:19">
      <c r="J358" s="1"/>
      <c r="S358" s="1"/>
    </row>
    <row r="359" spans="10:19">
      <c r="J359" s="1"/>
      <c r="S359" s="1"/>
    </row>
    <row r="360" spans="10:19">
      <c r="J360" s="1"/>
      <c r="S360" s="1"/>
    </row>
    <row r="361" spans="10:19">
      <c r="J361" s="1"/>
      <c r="S361" s="1"/>
    </row>
    <row r="362" spans="10:19">
      <c r="J362" s="1"/>
      <c r="S362" s="1"/>
    </row>
    <row r="363" spans="10:19">
      <c r="J363" s="1"/>
      <c r="S363" s="1"/>
    </row>
    <row r="364" spans="10:19">
      <c r="J364" s="1"/>
      <c r="S364" s="1"/>
    </row>
    <row r="365" spans="10:19">
      <c r="J365" s="1"/>
      <c r="S365" s="1"/>
    </row>
    <row r="366" spans="10:19">
      <c r="J366" s="1"/>
      <c r="S366" s="1"/>
    </row>
    <row r="367" spans="10:19">
      <c r="J367" s="1"/>
      <c r="S367" s="1"/>
    </row>
    <row r="368" spans="10:19">
      <c r="J368" s="1"/>
      <c r="S368" s="1"/>
    </row>
    <row r="369" spans="10:19">
      <c r="J369" s="1"/>
      <c r="S369" s="1"/>
    </row>
    <row r="370" spans="10:19">
      <c r="J370" s="1"/>
      <c r="S370" s="1"/>
    </row>
    <row r="371" spans="10:19">
      <c r="J371" s="1"/>
      <c r="S371" s="1"/>
    </row>
    <row r="372" spans="10:19">
      <c r="J372" s="1"/>
      <c r="S372" s="1"/>
    </row>
    <row r="373" spans="10:19">
      <c r="J373" s="1"/>
      <c r="S373" s="1"/>
    </row>
    <row r="374" spans="10:19">
      <c r="J374" s="1"/>
      <c r="S374" s="1"/>
    </row>
    <row r="375" spans="10:19">
      <c r="J375" s="1"/>
      <c r="S375" s="1"/>
    </row>
    <row r="376" spans="10:19">
      <c r="J376" s="1"/>
      <c r="S376" s="1"/>
    </row>
    <row r="377" spans="10:19">
      <c r="J377" s="1"/>
      <c r="S377" s="1"/>
    </row>
    <row r="378" spans="10:19">
      <c r="J378" s="1"/>
      <c r="S378" s="1"/>
    </row>
    <row r="379" spans="10:19">
      <c r="J379" s="1"/>
      <c r="S379" s="1"/>
    </row>
    <row r="380" spans="10:19">
      <c r="J380" s="1"/>
      <c r="S380" s="1"/>
    </row>
    <row r="381" spans="10:19">
      <c r="J381" s="1"/>
      <c r="S381" s="1"/>
    </row>
    <row r="382" spans="10:19">
      <c r="J382" s="1"/>
      <c r="S382" s="1"/>
    </row>
    <row r="383" spans="10:19">
      <c r="J383" s="1"/>
      <c r="S383" s="1"/>
    </row>
    <row r="384" spans="10:19">
      <c r="J384" s="1"/>
      <c r="S384" s="1"/>
    </row>
    <row r="385" spans="10:19">
      <c r="J385" s="1"/>
      <c r="S385" s="1"/>
    </row>
    <row r="386" spans="10:19">
      <c r="J386" s="1"/>
      <c r="S386" s="1"/>
    </row>
    <row r="387" spans="10:19">
      <c r="J387" s="1"/>
      <c r="S387" s="1"/>
    </row>
    <row r="388" spans="10:19">
      <c r="J388" s="1"/>
      <c r="S388" s="1"/>
    </row>
    <row r="389" spans="10:19">
      <c r="J389" s="1"/>
      <c r="S389" s="1"/>
    </row>
    <row r="390" spans="10:19">
      <c r="J390" s="1"/>
      <c r="S390" s="1"/>
    </row>
    <row r="391" spans="10:19">
      <c r="J391" s="1"/>
      <c r="S391" s="1"/>
    </row>
    <row r="392" spans="10:19">
      <c r="J392" s="1"/>
      <c r="S392" s="1"/>
    </row>
    <row r="393" spans="10:19">
      <c r="J393" s="1"/>
      <c r="S393" s="1"/>
    </row>
    <row r="394" spans="10:19">
      <c r="J394" s="1"/>
      <c r="S394" s="1"/>
    </row>
    <row r="395" spans="10:19">
      <c r="J395" s="1"/>
      <c r="S395" s="1"/>
    </row>
    <row r="396" spans="10:19">
      <c r="J396" s="1"/>
      <c r="S396" s="1"/>
    </row>
    <row r="397" spans="10:19">
      <c r="J397" s="1"/>
      <c r="S397" s="1"/>
    </row>
    <row r="398" spans="10:19">
      <c r="J398" s="1"/>
      <c r="S398" s="1"/>
    </row>
    <row r="399" spans="10:19">
      <c r="J399" s="1"/>
      <c r="S399" s="1"/>
    </row>
    <row r="400" spans="10:19">
      <c r="J400" s="1"/>
      <c r="S400" s="1"/>
    </row>
    <row r="401" spans="10:19">
      <c r="J401" s="1"/>
      <c r="S401" s="1"/>
    </row>
    <row r="402" spans="10:19">
      <c r="J402" s="1"/>
      <c r="S402" s="1"/>
    </row>
    <row r="403" spans="10:19">
      <c r="J403" s="1"/>
      <c r="S403" s="1"/>
    </row>
    <row r="404" spans="10:19">
      <c r="J404" s="1"/>
      <c r="S404" s="1"/>
    </row>
    <row r="405" spans="10:19">
      <c r="J405" s="1"/>
      <c r="S405" s="1"/>
    </row>
    <row r="406" spans="10:19">
      <c r="J406" s="1"/>
      <c r="S406" s="1"/>
    </row>
    <row r="407" spans="10:19">
      <c r="J407" s="1"/>
      <c r="S407" s="1"/>
    </row>
    <row r="408" spans="10:19">
      <c r="J408" s="1"/>
      <c r="S408" s="1"/>
    </row>
    <row r="409" spans="10:19">
      <c r="J409" s="1"/>
      <c r="S409" s="1"/>
    </row>
    <row r="410" spans="10:19">
      <c r="J410" s="1"/>
      <c r="S410" s="1"/>
    </row>
    <row r="411" spans="10:19">
      <c r="J411" s="1"/>
      <c r="S411" s="1"/>
    </row>
    <row r="412" spans="10:19">
      <c r="J412" s="1"/>
      <c r="S412" s="1"/>
    </row>
    <row r="413" spans="10:19">
      <c r="J413" s="1"/>
      <c r="S413" s="1"/>
    </row>
    <row r="414" spans="10:19">
      <c r="J414" s="1"/>
      <c r="S414" s="1"/>
    </row>
    <row r="415" spans="10:19">
      <c r="J415" s="1"/>
      <c r="S415" s="1"/>
    </row>
    <row r="416" spans="10:19">
      <c r="J416" s="1"/>
      <c r="S416" s="1"/>
    </row>
    <row r="417" spans="10:19">
      <c r="J417" s="1"/>
      <c r="S417" s="1"/>
    </row>
    <row r="418" spans="10:19">
      <c r="J418" s="1"/>
      <c r="S418" s="1"/>
    </row>
    <row r="419" spans="10:19">
      <c r="J419" s="1"/>
      <c r="S419" s="1"/>
    </row>
    <row r="420" spans="10:19">
      <c r="J420" s="1"/>
      <c r="S420" s="1"/>
    </row>
    <row r="421" spans="10:19">
      <c r="J421" s="1"/>
      <c r="S421" s="1"/>
    </row>
    <row r="422" spans="10:19">
      <c r="J422" s="1"/>
      <c r="S422" s="1"/>
    </row>
    <row r="423" spans="10:19">
      <c r="J423" s="1"/>
      <c r="S423" s="1"/>
    </row>
    <row r="424" spans="10:19">
      <c r="J424" s="1"/>
      <c r="S424" s="1"/>
    </row>
    <row r="425" spans="10:19">
      <c r="J425" s="1"/>
      <c r="S425" s="1"/>
    </row>
    <row r="426" spans="10:19">
      <c r="J426" s="1"/>
      <c r="S426" s="1"/>
    </row>
    <row r="427" spans="10:19">
      <c r="J427" s="1"/>
      <c r="S427" s="1"/>
    </row>
    <row r="428" spans="10:19">
      <c r="J428" s="1"/>
      <c r="S428" s="1"/>
    </row>
    <row r="429" spans="10:19">
      <c r="J429" s="1"/>
      <c r="S429" s="1"/>
    </row>
    <row r="430" spans="10:19">
      <c r="J430" s="1"/>
      <c r="S430" s="1"/>
    </row>
    <row r="431" spans="10:19">
      <c r="J431" s="1"/>
      <c r="S431" s="1"/>
    </row>
    <row r="432" spans="10:19">
      <c r="J432" s="1"/>
      <c r="S432" s="1"/>
    </row>
    <row r="433" spans="10:19">
      <c r="J433" s="1"/>
      <c r="S433" s="1"/>
    </row>
    <row r="434" spans="10:19">
      <c r="J434" s="1"/>
      <c r="S434" s="1"/>
    </row>
    <row r="435" spans="10:19">
      <c r="J435" s="1"/>
      <c r="S435" s="1"/>
    </row>
    <row r="436" spans="10:19">
      <c r="J436" s="1"/>
      <c r="S436" s="1"/>
    </row>
    <row r="437" spans="10:19">
      <c r="J437" s="1"/>
      <c r="S437" s="1"/>
    </row>
    <row r="438" spans="10:19">
      <c r="J438" s="1"/>
      <c r="S438" s="1"/>
    </row>
    <row r="439" spans="10:19">
      <c r="J439" s="1"/>
      <c r="S439" s="1"/>
    </row>
    <row r="440" spans="10:19">
      <c r="J440" s="1"/>
      <c r="S440" s="1"/>
    </row>
    <row r="441" spans="10:19">
      <c r="J441" s="1"/>
      <c r="S441" s="1"/>
    </row>
    <row r="442" spans="10:19">
      <c r="J442" s="1"/>
      <c r="S442" s="1"/>
    </row>
    <row r="443" spans="10:19">
      <c r="J443" s="1"/>
      <c r="S443" s="1"/>
    </row>
    <row r="444" spans="10:19">
      <c r="J444" s="1"/>
      <c r="S444" s="1"/>
    </row>
    <row r="445" spans="10:19">
      <c r="J445" s="1"/>
      <c r="S445" s="1"/>
    </row>
    <row r="446" spans="10:19">
      <c r="J446" s="1"/>
      <c r="S446" s="1"/>
    </row>
    <row r="447" spans="10:19">
      <c r="J447" s="1"/>
      <c r="S447" s="1"/>
    </row>
    <row r="448" spans="10:19">
      <c r="J448" s="1"/>
      <c r="S448" s="1"/>
    </row>
    <row r="449" spans="10:19">
      <c r="J449" s="1"/>
      <c r="S449" s="1"/>
    </row>
    <row r="450" spans="10:19">
      <c r="J450" s="1"/>
      <c r="S450" s="1"/>
    </row>
    <row r="451" spans="10:19">
      <c r="J451" s="1"/>
      <c r="S451" s="1"/>
    </row>
    <row r="452" spans="10:19">
      <c r="J452" s="1"/>
      <c r="S452" s="1"/>
    </row>
    <row r="453" spans="10:19">
      <c r="J453" s="1"/>
      <c r="S453" s="1"/>
    </row>
    <row r="454" spans="10:19">
      <c r="J454" s="1"/>
      <c r="S454" s="1"/>
    </row>
    <row r="455" spans="10:19">
      <c r="J455" s="1"/>
      <c r="S455" s="1"/>
    </row>
    <row r="456" spans="10:19">
      <c r="J456" s="1"/>
      <c r="S456" s="1"/>
    </row>
    <row r="457" spans="10:19">
      <c r="J457" s="1"/>
      <c r="S457" s="1"/>
    </row>
    <row r="458" spans="10:19">
      <c r="J458" s="1"/>
      <c r="S458" s="1"/>
    </row>
    <row r="459" spans="10:19">
      <c r="J459" s="1"/>
      <c r="S459" s="1"/>
    </row>
    <row r="460" spans="10:19">
      <c r="J460" s="1"/>
      <c r="S460" s="1"/>
    </row>
    <row r="461" spans="10:19">
      <c r="J461" s="1"/>
      <c r="S461" s="1"/>
    </row>
    <row r="462" spans="10:19">
      <c r="J462" s="1"/>
      <c r="S462" s="1"/>
    </row>
    <row r="463" spans="10:19">
      <c r="J463" s="1"/>
      <c r="S463" s="1"/>
    </row>
    <row r="464" spans="10:19">
      <c r="J464" s="1"/>
      <c r="S464" s="1"/>
    </row>
    <row r="465" spans="10:19">
      <c r="J465" s="1"/>
      <c r="S465" s="1"/>
    </row>
    <row r="466" spans="10:19">
      <c r="J466" s="1"/>
      <c r="S466" s="1"/>
    </row>
    <row r="467" spans="10:19">
      <c r="J467" s="1"/>
      <c r="S467" s="1"/>
    </row>
    <row r="468" spans="10:19">
      <c r="J468" s="1"/>
      <c r="S468" s="1"/>
    </row>
    <row r="469" spans="10:19">
      <c r="J469" s="1"/>
      <c r="S469" s="1"/>
    </row>
    <row r="470" spans="10:19">
      <c r="J470" s="1"/>
      <c r="S470" s="1"/>
    </row>
    <row r="471" spans="10:19">
      <c r="J471" s="1"/>
      <c r="S471" s="1"/>
    </row>
    <row r="472" spans="10:19">
      <c r="J472" s="1"/>
      <c r="S472" s="1"/>
    </row>
    <row r="473" spans="10:19">
      <c r="J473" s="1"/>
      <c r="S473" s="1"/>
    </row>
    <row r="474" spans="10:19">
      <c r="J474" s="1"/>
      <c r="S474" s="1"/>
    </row>
    <row r="475" spans="10:19">
      <c r="J475" s="1"/>
      <c r="S475" s="1"/>
    </row>
    <row r="476" spans="10:19">
      <c r="J476" s="1"/>
      <c r="S476" s="1"/>
    </row>
    <row r="477" spans="10:19">
      <c r="J477" s="1"/>
      <c r="S477" s="1"/>
    </row>
    <row r="478" spans="10:19">
      <c r="J478" s="1"/>
      <c r="S478" s="1"/>
    </row>
    <row r="479" spans="10:19">
      <c r="J479" s="1"/>
      <c r="S479" s="1"/>
    </row>
    <row r="480" spans="10:19">
      <c r="J480" s="1"/>
      <c r="S480" s="1"/>
    </row>
    <row r="481" spans="10:19">
      <c r="J481" s="1"/>
      <c r="S481" s="1"/>
    </row>
    <row r="482" spans="10:19">
      <c r="J482" s="1"/>
      <c r="S482" s="1"/>
    </row>
    <row r="483" spans="10:19">
      <c r="J483" s="1"/>
      <c r="S483" s="1"/>
    </row>
    <row r="484" spans="10:19">
      <c r="J484" s="1"/>
      <c r="S484" s="1"/>
    </row>
    <row r="485" spans="10:19">
      <c r="J485" s="1"/>
      <c r="S485" s="1"/>
    </row>
    <row r="486" spans="10:19">
      <c r="J486" s="1"/>
      <c r="S486" s="1"/>
    </row>
    <row r="487" spans="10:19">
      <c r="J487" s="1"/>
      <c r="S487" s="1"/>
    </row>
    <row r="488" spans="10:19">
      <c r="J488" s="1"/>
      <c r="S488" s="1"/>
    </row>
    <row r="489" spans="10:19">
      <c r="J489" s="1"/>
      <c r="S489" s="1"/>
    </row>
    <row r="490" spans="10:19">
      <c r="J490" s="1"/>
      <c r="S490" s="1"/>
    </row>
    <row r="491" spans="10:19">
      <c r="J491" s="1"/>
      <c r="S491" s="1"/>
    </row>
    <row r="492" spans="10:19">
      <c r="J492" s="1"/>
      <c r="S492" s="1"/>
    </row>
    <row r="493" spans="10:19">
      <c r="J493" s="1"/>
      <c r="S493" s="1"/>
    </row>
    <row r="494" spans="10:19">
      <c r="J494" s="1"/>
      <c r="S494" s="1"/>
    </row>
    <row r="495" spans="10:19">
      <c r="J495" s="1"/>
      <c r="S495" s="1"/>
    </row>
    <row r="496" spans="10:19">
      <c r="J496" s="1"/>
      <c r="S496" s="1"/>
    </row>
    <row r="497" spans="10:19">
      <c r="J497" s="1"/>
      <c r="S497" s="1"/>
    </row>
    <row r="498" spans="10:19">
      <c r="J498" s="1"/>
      <c r="S498" s="1"/>
    </row>
    <row r="499" spans="10:19">
      <c r="J499" s="1"/>
      <c r="S499" s="1"/>
    </row>
    <row r="500" spans="10:19">
      <c r="J500" s="1"/>
      <c r="S500" s="1"/>
    </row>
    <row r="501" spans="10:19">
      <c r="J501" s="1"/>
      <c r="S501" s="1"/>
    </row>
    <row r="502" spans="10:19">
      <c r="J502" s="1"/>
      <c r="S502" s="1"/>
    </row>
    <row r="503" spans="10:19">
      <c r="J503" s="1"/>
      <c r="S503" s="1"/>
    </row>
    <row r="504" spans="10:19">
      <c r="J504" s="1"/>
      <c r="S504" s="1"/>
    </row>
    <row r="505" spans="10:19">
      <c r="J505" s="1"/>
      <c r="S505" s="1"/>
    </row>
    <row r="506" spans="10:19">
      <c r="J506" s="1"/>
      <c r="S506" s="1"/>
    </row>
    <row r="507" spans="10:19">
      <c r="J507" s="1"/>
      <c r="S507" s="1"/>
    </row>
    <row r="508" spans="10:19">
      <c r="J508" s="1"/>
      <c r="S508" s="1"/>
    </row>
    <row r="509" spans="10:19">
      <c r="J509" s="1"/>
      <c r="S509" s="1"/>
    </row>
    <row r="510" spans="10:19">
      <c r="J510" s="1"/>
      <c r="S510" s="1"/>
    </row>
    <row r="511" spans="10:19">
      <c r="J511" s="1"/>
      <c r="S511" s="1"/>
    </row>
    <row r="512" spans="10:19">
      <c r="J512" s="1"/>
      <c r="S512" s="1"/>
    </row>
    <row r="513" spans="10:19">
      <c r="J513" s="1"/>
      <c r="S513" s="1"/>
    </row>
    <row r="514" spans="10:19">
      <c r="J514" s="1"/>
      <c r="S514" s="1"/>
    </row>
    <row r="515" spans="10:19">
      <c r="J515" s="1"/>
      <c r="S515" s="1"/>
    </row>
    <row r="516" spans="10:19">
      <c r="J516" s="1"/>
      <c r="S516" s="1"/>
    </row>
    <row r="517" spans="10:19">
      <c r="J517" s="1"/>
      <c r="S517" s="1"/>
    </row>
    <row r="518" spans="10:19">
      <c r="J518" s="1"/>
      <c r="S518" s="1"/>
    </row>
    <row r="519" spans="10:19">
      <c r="J519" s="1"/>
      <c r="S519" s="1"/>
    </row>
    <row r="520" spans="10:19">
      <c r="J520" s="1"/>
      <c r="S520" s="1"/>
    </row>
    <row r="521" spans="10:19">
      <c r="J521" s="1"/>
      <c r="S521" s="1"/>
    </row>
    <row r="522" spans="10:19">
      <c r="J522" s="1"/>
      <c r="S522" s="1"/>
    </row>
    <row r="523" spans="10:19">
      <c r="J523" s="1"/>
      <c r="S523" s="1"/>
    </row>
    <row r="524" spans="10:19">
      <c r="J524" s="1"/>
      <c r="S524" s="1"/>
    </row>
    <row r="525" spans="10:19">
      <c r="J525" s="1"/>
      <c r="S525" s="1"/>
    </row>
    <row r="526" spans="10:19">
      <c r="J526" s="1"/>
      <c r="S526" s="1"/>
    </row>
    <row r="527" spans="10:19">
      <c r="J527" s="1"/>
      <c r="S527" s="1"/>
    </row>
    <row r="528" spans="10:19">
      <c r="J528" s="1"/>
      <c r="S528" s="1"/>
    </row>
    <row r="529" spans="10:19">
      <c r="J529" s="1"/>
      <c r="S529" s="1"/>
    </row>
    <row r="530" spans="10:19">
      <c r="J530" s="1"/>
      <c r="S530" s="1"/>
    </row>
    <row r="531" spans="10:19">
      <c r="J531" s="1"/>
      <c r="S531" s="1"/>
    </row>
    <row r="532" spans="10:19">
      <c r="J532" s="1"/>
      <c r="S532" s="1"/>
    </row>
    <row r="533" spans="10:19">
      <c r="J533" s="1"/>
      <c r="S533" s="1"/>
    </row>
    <row r="534" spans="10:19">
      <c r="J534" s="1"/>
      <c r="S534" s="1"/>
    </row>
    <row r="535" spans="10:19">
      <c r="J535" s="1"/>
      <c r="S535" s="1"/>
    </row>
    <row r="536" spans="10:19">
      <c r="J536" s="1"/>
      <c r="S536" s="1"/>
    </row>
    <row r="537" spans="10:19">
      <c r="J537" s="1"/>
      <c r="S537" s="1"/>
    </row>
    <row r="538" spans="10:19">
      <c r="J538" s="1"/>
      <c r="S538" s="1"/>
    </row>
    <row r="539" spans="10:19">
      <c r="J539" s="1"/>
      <c r="S539" s="1"/>
    </row>
    <row r="540" spans="10:19">
      <c r="J540" s="1"/>
      <c r="S540" s="1"/>
    </row>
    <row r="541" spans="10:19">
      <c r="J541" s="1"/>
      <c r="S541" s="1"/>
    </row>
    <row r="542" spans="10:19">
      <c r="J542" s="1"/>
      <c r="S542" s="1"/>
    </row>
    <row r="543" spans="10:19">
      <c r="J543" s="1"/>
      <c r="S543" s="1"/>
    </row>
    <row r="544" spans="10:19">
      <c r="J544" s="1"/>
      <c r="S544" s="1"/>
    </row>
    <row r="545" spans="10:19">
      <c r="J545" s="1"/>
      <c r="S545" s="1"/>
    </row>
    <row r="546" spans="10:19">
      <c r="J546" s="1"/>
      <c r="S546" s="1"/>
    </row>
    <row r="547" spans="10:19">
      <c r="J547" s="1"/>
      <c r="S547" s="1"/>
    </row>
    <row r="548" spans="10:19">
      <c r="J548" s="1"/>
      <c r="S548" s="1"/>
    </row>
    <row r="549" spans="10:19">
      <c r="J549" s="1"/>
      <c r="S549" s="1"/>
    </row>
    <row r="550" spans="10:19">
      <c r="J550" s="1"/>
      <c r="S550" s="1"/>
    </row>
    <row r="551" spans="10:19">
      <c r="J551" s="1"/>
      <c r="S551" s="1"/>
    </row>
    <row r="552" spans="10:19">
      <c r="J552" s="1"/>
      <c r="S552" s="1"/>
    </row>
    <row r="553" spans="10:19">
      <c r="J553" s="1"/>
      <c r="S553" s="1"/>
    </row>
    <row r="554" spans="10:19">
      <c r="J554" s="1"/>
      <c r="S554" s="1"/>
    </row>
    <row r="555" spans="10:19">
      <c r="J555" s="1"/>
      <c r="S555" s="1"/>
    </row>
    <row r="556" spans="10:19">
      <c r="J556" s="1"/>
      <c r="S556" s="1"/>
    </row>
    <row r="557" spans="10:19">
      <c r="J557" s="1"/>
      <c r="S557" s="1"/>
    </row>
    <row r="558" spans="10:19">
      <c r="J558" s="1"/>
      <c r="S558" s="1"/>
    </row>
    <row r="559" spans="10:19">
      <c r="J559" s="1"/>
      <c r="S559" s="1"/>
    </row>
    <row r="560" spans="10:19">
      <c r="J560" s="1"/>
      <c r="S560" s="1"/>
    </row>
    <row r="561" spans="10:19">
      <c r="J561" s="1"/>
      <c r="S561" s="1"/>
    </row>
    <row r="562" spans="10:19">
      <c r="J562" s="1"/>
      <c r="S562" s="1"/>
    </row>
    <row r="563" spans="10:19">
      <c r="J563" s="1"/>
      <c r="S563" s="1"/>
    </row>
    <row r="564" spans="10:19">
      <c r="J564" s="1"/>
      <c r="S564" s="1"/>
    </row>
    <row r="565" spans="10:19">
      <c r="J565" s="1"/>
      <c r="S565" s="1"/>
    </row>
    <row r="566" spans="10:19">
      <c r="J566" s="1"/>
      <c r="S566" s="1"/>
    </row>
    <row r="567" spans="10:19">
      <c r="J567" s="1"/>
      <c r="S567" s="1"/>
    </row>
    <row r="568" spans="10:19">
      <c r="J568" s="1"/>
      <c r="S568" s="1"/>
    </row>
    <row r="569" spans="10:19">
      <c r="J569" s="1"/>
      <c r="S569" s="1"/>
    </row>
    <row r="570" spans="10:19">
      <c r="J570" s="1"/>
      <c r="S570" s="1"/>
    </row>
    <row r="571" spans="10:19">
      <c r="J571" s="1"/>
      <c r="S571" s="1"/>
    </row>
    <row r="572" spans="10:19">
      <c r="J572" s="1"/>
      <c r="S572" s="1"/>
    </row>
    <row r="573" spans="10:19">
      <c r="J573" s="1"/>
      <c r="S573" s="1"/>
    </row>
    <row r="574" spans="10:19">
      <c r="J574" s="1"/>
      <c r="S574" s="1"/>
    </row>
    <row r="575" spans="10:19">
      <c r="J575" s="1"/>
      <c r="S575" s="1"/>
    </row>
    <row r="576" spans="10:19">
      <c r="J576" s="1"/>
      <c r="S576" s="1"/>
    </row>
    <row r="577" spans="10:19">
      <c r="J577" s="1"/>
      <c r="S577" s="1"/>
    </row>
    <row r="578" spans="10:19">
      <c r="J578" s="1"/>
      <c r="S578" s="1"/>
    </row>
    <row r="579" spans="10:19">
      <c r="J579" s="1"/>
      <c r="S579" s="1"/>
    </row>
    <row r="580" spans="10:19">
      <c r="J580" s="1"/>
      <c r="S580" s="1"/>
    </row>
    <row r="581" spans="10:19">
      <c r="J581" s="1"/>
      <c r="S581" s="1"/>
    </row>
    <row r="582" spans="10:19">
      <c r="J582" s="1"/>
      <c r="S582" s="1"/>
    </row>
    <row r="583" spans="10:19">
      <c r="J583" s="1"/>
      <c r="S583" s="1"/>
    </row>
    <row r="584" spans="10:19">
      <c r="J584" s="1"/>
      <c r="S584" s="1"/>
    </row>
    <row r="585" spans="10:19">
      <c r="J585" s="1"/>
      <c r="S585" s="1"/>
    </row>
    <row r="586" spans="10:19">
      <c r="J586" s="1"/>
      <c r="S586" s="1"/>
    </row>
    <row r="587" spans="10:19">
      <c r="J587" s="1"/>
      <c r="S587" s="1"/>
    </row>
    <row r="588" spans="10:19">
      <c r="J588" s="1"/>
      <c r="S588" s="1"/>
    </row>
    <row r="589" spans="10:19">
      <c r="J589" s="1"/>
      <c r="S589" s="1"/>
    </row>
    <row r="590" spans="10:19">
      <c r="J590" s="1"/>
      <c r="S590" s="1"/>
    </row>
    <row r="591" spans="10:19">
      <c r="J591" s="1"/>
      <c r="S591" s="1"/>
    </row>
    <row r="592" spans="10:19">
      <c r="J592" s="1"/>
      <c r="S592" s="1"/>
    </row>
    <row r="593" spans="10:19">
      <c r="J593" s="1"/>
      <c r="S593" s="1"/>
    </row>
    <row r="594" spans="10:19">
      <c r="J594" s="1"/>
      <c r="S594" s="1"/>
    </row>
    <row r="595" spans="10:19">
      <c r="J595" s="1"/>
      <c r="S595" s="1"/>
    </row>
    <row r="596" spans="10:19">
      <c r="J596" s="1"/>
      <c r="S596" s="1"/>
    </row>
    <row r="597" spans="10:19">
      <c r="J597" s="1"/>
      <c r="S597" s="1"/>
    </row>
    <row r="598" spans="10:19">
      <c r="J598" s="1"/>
      <c r="S598" s="1"/>
    </row>
    <row r="599" spans="10:19">
      <c r="J599" s="1"/>
      <c r="S599" s="1"/>
    </row>
    <row r="600" spans="10:19">
      <c r="J600" s="1"/>
      <c r="S600" s="1"/>
    </row>
    <row r="601" spans="10:19">
      <c r="J601" s="1"/>
      <c r="S601" s="1"/>
    </row>
    <row r="602" spans="10:19">
      <c r="S602" s="1"/>
    </row>
    <row r="603" spans="10:19">
      <c r="S603" s="1"/>
    </row>
    <row r="604" spans="10:19">
      <c r="S604" s="1"/>
    </row>
    <row r="605" spans="10:19">
      <c r="S605" s="1"/>
    </row>
    <row r="606" spans="10:19">
      <c r="S606" s="1"/>
    </row>
    <row r="607" spans="10:19">
      <c r="S607" s="1"/>
    </row>
    <row r="608" spans="10:19">
      <c r="S608" s="1"/>
    </row>
    <row r="609" spans="19:19">
      <c r="S609" s="1"/>
    </row>
    <row r="610" spans="19:19">
      <c r="S610" s="1"/>
    </row>
    <row r="611" spans="19:19">
      <c r="S611" s="1"/>
    </row>
    <row r="612" spans="19:19">
      <c r="S612" s="1"/>
    </row>
    <row r="613" spans="19:19">
      <c r="S613" s="1"/>
    </row>
    <row r="614" spans="19:19">
      <c r="S614" s="1"/>
    </row>
    <row r="615" spans="19:19">
      <c r="S615" s="1"/>
    </row>
    <row r="616" spans="19:19">
      <c r="S616" s="1"/>
    </row>
    <row r="617" spans="19:19">
      <c r="S617" s="1"/>
    </row>
    <row r="618" spans="19:19">
      <c r="S618" s="1"/>
    </row>
    <row r="619" spans="19:19">
      <c r="S619" s="1"/>
    </row>
    <row r="620" spans="19:19">
      <c r="S620" s="1"/>
    </row>
    <row r="621" spans="19:19">
      <c r="S621" s="1"/>
    </row>
    <row r="622" spans="19:19">
      <c r="S622" s="1"/>
    </row>
    <row r="623" spans="19:19">
      <c r="S623" s="1"/>
    </row>
    <row r="624" spans="19:19">
      <c r="S624" s="1"/>
    </row>
    <row r="625" spans="19:19">
      <c r="S625" s="1"/>
    </row>
    <row r="626" spans="19:19">
      <c r="S626" s="1"/>
    </row>
    <row r="627" spans="19:19">
      <c r="S627" s="1"/>
    </row>
    <row r="628" spans="19:19">
      <c r="S628" s="1"/>
    </row>
    <row r="629" spans="19:19">
      <c r="S629" s="1"/>
    </row>
    <row r="630" spans="19:19">
      <c r="S630" s="1"/>
    </row>
    <row r="631" spans="19:19">
      <c r="S631" s="1"/>
    </row>
    <row r="632" spans="19:19">
      <c r="S632" s="1"/>
    </row>
    <row r="633" spans="19:19">
      <c r="S633" s="1"/>
    </row>
    <row r="634" spans="19:19">
      <c r="S634" s="1"/>
    </row>
    <row r="635" spans="19:19">
      <c r="S635" s="1"/>
    </row>
    <row r="636" spans="19:19">
      <c r="S636" s="1"/>
    </row>
    <row r="637" spans="19:19">
      <c r="S637" s="1"/>
    </row>
    <row r="638" spans="19:19">
      <c r="S638" s="1"/>
    </row>
    <row r="639" spans="19:19">
      <c r="S639" s="1"/>
    </row>
    <row r="640" spans="19:19">
      <c r="S640" s="1"/>
    </row>
    <row r="641" spans="19:19">
      <c r="S641" s="1"/>
    </row>
    <row r="642" spans="19:19">
      <c r="S642" s="1"/>
    </row>
    <row r="643" spans="19:19">
      <c r="S643" s="1"/>
    </row>
    <row r="644" spans="19:19">
      <c r="S644" s="1"/>
    </row>
    <row r="645" spans="19:19">
      <c r="S645" s="1"/>
    </row>
    <row r="646" spans="19:19">
      <c r="S646" s="1"/>
    </row>
    <row r="647" spans="19:19">
      <c r="S647" s="1"/>
    </row>
    <row r="648" spans="19:19">
      <c r="S648" s="1"/>
    </row>
    <row r="649" spans="19:19">
      <c r="S649" s="1"/>
    </row>
    <row r="650" spans="19:19">
      <c r="S650" s="1"/>
    </row>
    <row r="651" spans="19:19">
      <c r="S651" s="1"/>
    </row>
    <row r="652" spans="19:19">
      <c r="S652" s="1"/>
    </row>
    <row r="653" spans="19:19">
      <c r="S653" s="1"/>
    </row>
    <row r="654" spans="19:19">
      <c r="S654" s="1"/>
    </row>
    <row r="655" spans="19:19">
      <c r="S655" s="1"/>
    </row>
    <row r="656" spans="19:19">
      <c r="S656" s="1"/>
    </row>
    <row r="657" spans="19:19">
      <c r="S657" s="1"/>
    </row>
    <row r="658" spans="19:19">
      <c r="S658" s="1"/>
    </row>
    <row r="659" spans="19:19">
      <c r="S659" s="1"/>
    </row>
    <row r="660" spans="19:19">
      <c r="S660" s="1"/>
    </row>
    <row r="661" spans="19:19">
      <c r="S661" s="1"/>
    </row>
    <row r="662" spans="19:19">
      <c r="S662" s="1"/>
    </row>
    <row r="663" spans="19:19">
      <c r="S663" s="1"/>
    </row>
    <row r="664" spans="19:19">
      <c r="S664" s="1"/>
    </row>
    <row r="665" spans="19:19">
      <c r="S665" s="1"/>
    </row>
    <row r="666" spans="19:19">
      <c r="S666" s="1"/>
    </row>
    <row r="667" spans="19:19">
      <c r="S667" s="1"/>
    </row>
    <row r="668" spans="19:19">
      <c r="S668" s="1"/>
    </row>
    <row r="669" spans="19:19">
      <c r="S669" s="1"/>
    </row>
    <row r="670" spans="19:19">
      <c r="S670" s="1"/>
    </row>
    <row r="671" spans="19:19">
      <c r="S671" s="1"/>
    </row>
    <row r="672" spans="19:19">
      <c r="S672" s="1"/>
    </row>
    <row r="673" spans="19:19">
      <c r="S673" s="1"/>
    </row>
    <row r="674" spans="19:19">
      <c r="S674" s="1"/>
    </row>
    <row r="675" spans="19:19">
      <c r="S675" s="1"/>
    </row>
    <row r="676" spans="19:19">
      <c r="S676" s="1"/>
    </row>
    <row r="677" spans="19:19">
      <c r="S677" s="1"/>
    </row>
    <row r="678" spans="19:19">
      <c r="S678" s="1"/>
    </row>
    <row r="679" spans="19:19">
      <c r="S679" s="1"/>
    </row>
    <row r="680" spans="19:19">
      <c r="S680" s="1"/>
    </row>
    <row r="681" spans="19:19">
      <c r="S681" s="1"/>
    </row>
    <row r="682" spans="19:19">
      <c r="S682" s="1"/>
    </row>
    <row r="683" spans="19:19">
      <c r="S683" s="1"/>
    </row>
    <row r="684" spans="19:19">
      <c r="S684" s="1"/>
    </row>
    <row r="685" spans="19:19">
      <c r="S685" s="1"/>
    </row>
    <row r="686" spans="19:19">
      <c r="S686" s="1"/>
    </row>
    <row r="687" spans="19:19">
      <c r="S687" s="1"/>
    </row>
    <row r="688" spans="19:19">
      <c r="S688" s="1"/>
    </row>
    <row r="689" spans="19:19">
      <c r="S689" s="1"/>
    </row>
    <row r="690" spans="19:19">
      <c r="S690" s="1"/>
    </row>
    <row r="691" spans="19:19">
      <c r="S691" s="1"/>
    </row>
    <row r="692" spans="19:19">
      <c r="S692" s="1"/>
    </row>
    <row r="693" spans="19:19">
      <c r="S693" s="1"/>
    </row>
    <row r="694" spans="19:19">
      <c r="S694" s="1"/>
    </row>
    <row r="695" spans="19:19">
      <c r="S695" s="1"/>
    </row>
    <row r="696" spans="19:19">
      <c r="S696" s="1"/>
    </row>
    <row r="697" spans="19:19">
      <c r="S697" s="1"/>
    </row>
    <row r="698" spans="19:19">
      <c r="S698" s="1"/>
    </row>
    <row r="699" spans="19:19">
      <c r="S699" s="1"/>
    </row>
    <row r="700" spans="19:19">
      <c r="S700" s="1"/>
    </row>
    <row r="701" spans="19:19">
      <c r="S701" s="1"/>
    </row>
    <row r="702" spans="19:19">
      <c r="S702" s="1"/>
    </row>
    <row r="703" spans="19:19">
      <c r="S703" s="1"/>
    </row>
    <row r="704" spans="19:19">
      <c r="S704" s="1"/>
    </row>
    <row r="705" spans="19:19">
      <c r="S705" s="1"/>
    </row>
    <row r="706" spans="19:19">
      <c r="S706" s="1"/>
    </row>
    <row r="707" spans="19:19">
      <c r="S707" s="1"/>
    </row>
    <row r="708" spans="19:19">
      <c r="S708" s="1"/>
    </row>
    <row r="709" spans="19:19">
      <c r="S709" s="1"/>
    </row>
    <row r="710" spans="19:19">
      <c r="S710" s="1"/>
    </row>
    <row r="711" spans="19:19">
      <c r="S711" s="1"/>
    </row>
    <row r="712" spans="19:19">
      <c r="S712" s="1"/>
    </row>
    <row r="713" spans="19:19">
      <c r="S713" s="1"/>
    </row>
    <row r="714" spans="19:19">
      <c r="S714" s="1"/>
    </row>
    <row r="715" spans="19:19">
      <c r="S715" s="1"/>
    </row>
    <row r="716" spans="19:19">
      <c r="S716" s="1"/>
    </row>
    <row r="717" spans="19:19">
      <c r="S717" s="1"/>
    </row>
    <row r="718" spans="19:19">
      <c r="S718" s="1"/>
    </row>
    <row r="719" spans="19:19">
      <c r="S719" s="1"/>
    </row>
    <row r="720" spans="19:19">
      <c r="S720" s="1"/>
    </row>
    <row r="721" spans="19:19">
      <c r="S721" s="1"/>
    </row>
    <row r="722" spans="19:19">
      <c r="S722" s="1"/>
    </row>
    <row r="723" spans="19:19">
      <c r="S723" s="1"/>
    </row>
    <row r="724" spans="19:19">
      <c r="S724" s="1"/>
    </row>
    <row r="725" spans="19:19">
      <c r="S725" s="1"/>
    </row>
    <row r="726" spans="19:19">
      <c r="S726" s="1"/>
    </row>
    <row r="727" spans="19:19">
      <c r="S727" s="1"/>
    </row>
    <row r="728" spans="19:19">
      <c r="S728" s="1"/>
    </row>
    <row r="729" spans="19:19">
      <c r="S729" s="1"/>
    </row>
    <row r="730" spans="19:19">
      <c r="S730" s="1"/>
    </row>
    <row r="731" spans="19:19">
      <c r="S731" s="1"/>
    </row>
    <row r="732" spans="19:19">
      <c r="S732" s="1"/>
    </row>
    <row r="733" spans="19:19">
      <c r="S733" s="1"/>
    </row>
    <row r="734" spans="19:19">
      <c r="S734" s="1"/>
    </row>
    <row r="735" spans="19:19">
      <c r="S735" s="1"/>
    </row>
    <row r="736" spans="19:19">
      <c r="S736" s="1"/>
    </row>
    <row r="737" spans="19:19">
      <c r="S737" s="1"/>
    </row>
    <row r="738" spans="19:19">
      <c r="S738" s="1"/>
    </row>
    <row r="739" spans="19:19">
      <c r="S739" s="1"/>
    </row>
    <row r="740" spans="19:19">
      <c r="S740" s="1"/>
    </row>
    <row r="741" spans="19:19">
      <c r="S741" s="1"/>
    </row>
    <row r="742" spans="19:19">
      <c r="S742" s="1"/>
    </row>
    <row r="743" spans="19:19">
      <c r="S743" s="1"/>
    </row>
    <row r="744" spans="19:19">
      <c r="S744" s="1"/>
    </row>
    <row r="745" spans="19:19">
      <c r="S745" s="1"/>
    </row>
    <row r="746" spans="19:19">
      <c r="S746" s="1"/>
    </row>
    <row r="747" spans="19:19">
      <c r="S747" s="1"/>
    </row>
    <row r="748" spans="19:19">
      <c r="S748" s="1"/>
    </row>
    <row r="749" spans="19:19">
      <c r="S749" s="1"/>
    </row>
    <row r="750" spans="19:19">
      <c r="S750" s="1"/>
    </row>
    <row r="751" spans="19:19">
      <c r="S751" s="1"/>
    </row>
    <row r="752" spans="19:19">
      <c r="S752" s="1"/>
    </row>
    <row r="753" spans="19:19">
      <c r="S753" s="1"/>
    </row>
    <row r="754" spans="19:19">
      <c r="S754" s="1"/>
    </row>
    <row r="755" spans="19:19">
      <c r="S755" s="1"/>
    </row>
    <row r="756" spans="19:19">
      <c r="S756" s="1"/>
    </row>
    <row r="757" spans="19:19">
      <c r="S757" s="1"/>
    </row>
    <row r="758" spans="19:19">
      <c r="S758" s="1"/>
    </row>
    <row r="759" spans="19:19">
      <c r="S759" s="1"/>
    </row>
    <row r="760" spans="19:19">
      <c r="S760" s="1"/>
    </row>
    <row r="761" spans="19:19">
      <c r="S761" s="1"/>
    </row>
    <row r="762" spans="19:19">
      <c r="S762" s="1"/>
    </row>
    <row r="763" spans="19:19">
      <c r="S763" s="1"/>
    </row>
    <row r="764" spans="19:19">
      <c r="S764" s="1"/>
    </row>
    <row r="765" spans="19:19">
      <c r="S765" s="1"/>
    </row>
    <row r="766" spans="19:19">
      <c r="S766" s="1"/>
    </row>
    <row r="767" spans="19:19">
      <c r="S767" s="1"/>
    </row>
    <row r="768" spans="19:19">
      <c r="S768" s="1"/>
    </row>
    <row r="769" spans="19:19">
      <c r="S769" s="1"/>
    </row>
    <row r="770" spans="19:19">
      <c r="S770" s="1"/>
    </row>
    <row r="771" spans="19:19">
      <c r="S771" s="1"/>
    </row>
    <row r="772" spans="19:19">
      <c r="S772" s="1"/>
    </row>
    <row r="773" spans="19:19">
      <c r="S773" s="1"/>
    </row>
    <row r="774" spans="19:19">
      <c r="S774" s="1"/>
    </row>
    <row r="775" spans="19:19">
      <c r="S775" s="1"/>
    </row>
    <row r="776" spans="19:19">
      <c r="S776" s="1"/>
    </row>
    <row r="777" spans="19:19">
      <c r="S777" s="1"/>
    </row>
    <row r="778" spans="19:19">
      <c r="S778" s="1"/>
    </row>
    <row r="779" spans="19:19">
      <c r="S779" s="1"/>
    </row>
    <row r="780" spans="19:19">
      <c r="S780" s="1"/>
    </row>
    <row r="781" spans="19:19">
      <c r="S781" s="1"/>
    </row>
    <row r="782" spans="19:19">
      <c r="S782" s="1"/>
    </row>
    <row r="783" spans="19:19">
      <c r="S783" s="1"/>
    </row>
    <row r="784" spans="19:19">
      <c r="S784" s="1"/>
    </row>
    <row r="785" spans="19:19">
      <c r="S785" s="1"/>
    </row>
    <row r="786" spans="19:19">
      <c r="S786" s="1"/>
    </row>
    <row r="787" spans="19:19">
      <c r="S787" s="1"/>
    </row>
    <row r="788" spans="19:19">
      <c r="S788" s="1"/>
    </row>
    <row r="789" spans="19:19">
      <c r="S789" s="1"/>
    </row>
    <row r="790" spans="19:19">
      <c r="S790" s="1"/>
    </row>
    <row r="791" spans="19:19">
      <c r="S791" s="1"/>
    </row>
    <row r="792" spans="19:19">
      <c r="S792" s="1"/>
    </row>
    <row r="793" spans="19:19">
      <c r="S793" s="1"/>
    </row>
    <row r="794" spans="19:19">
      <c r="S794" s="1"/>
    </row>
    <row r="795" spans="19:19">
      <c r="S795" s="1"/>
    </row>
    <row r="796" spans="19:19">
      <c r="S796" s="1"/>
    </row>
    <row r="797" spans="19:19">
      <c r="S797" s="1"/>
    </row>
    <row r="798" spans="19:19">
      <c r="S798" s="1"/>
    </row>
    <row r="799" spans="19:19">
      <c r="S799" s="1"/>
    </row>
    <row r="800" spans="19:19">
      <c r="S800" s="1"/>
    </row>
    <row r="801" spans="19:19">
      <c r="S801" s="1"/>
    </row>
    <row r="802" spans="19:19">
      <c r="S802" s="1"/>
    </row>
    <row r="803" spans="19:19">
      <c r="S803" s="1"/>
    </row>
    <row r="804" spans="19:19">
      <c r="S804" s="1"/>
    </row>
    <row r="805" spans="19:19">
      <c r="S805" s="1"/>
    </row>
    <row r="806" spans="19:19">
      <c r="S806" s="1"/>
    </row>
    <row r="807" spans="19:19">
      <c r="S807" s="1"/>
    </row>
    <row r="808" spans="19:19">
      <c r="S808" s="1"/>
    </row>
    <row r="809" spans="19:19">
      <c r="S809" s="1"/>
    </row>
    <row r="810" spans="19:19">
      <c r="S810" s="1"/>
    </row>
    <row r="811" spans="19:19">
      <c r="S811" s="1"/>
    </row>
    <row r="812" spans="19:19">
      <c r="S812" s="1"/>
    </row>
    <row r="813" spans="19:19">
      <c r="S813" s="1"/>
    </row>
    <row r="814" spans="19:19">
      <c r="S814" s="1"/>
    </row>
    <row r="815" spans="19:19">
      <c r="S815" s="1"/>
    </row>
    <row r="816" spans="19:19">
      <c r="S816" s="1"/>
    </row>
    <row r="817" spans="19:19">
      <c r="S817" s="1"/>
    </row>
    <row r="818" spans="19:19">
      <c r="S818" s="1"/>
    </row>
    <row r="819" spans="19:19">
      <c r="S819" s="1"/>
    </row>
    <row r="820" spans="19:19">
      <c r="S820" s="1"/>
    </row>
    <row r="821" spans="19:19">
      <c r="S821" s="1"/>
    </row>
    <row r="822" spans="19:19">
      <c r="S822" s="1"/>
    </row>
    <row r="823" spans="19:19">
      <c r="S823" s="1"/>
    </row>
    <row r="824" spans="19:19">
      <c r="S824" s="1"/>
    </row>
    <row r="825" spans="19:19">
      <c r="S825" s="1"/>
    </row>
    <row r="826" spans="19:19">
      <c r="S826" s="1"/>
    </row>
    <row r="827" spans="19:19">
      <c r="S827" s="1"/>
    </row>
    <row r="828" spans="19:19">
      <c r="S828" s="1"/>
    </row>
    <row r="829" spans="19:19">
      <c r="S829" s="1"/>
    </row>
    <row r="830" spans="19:19">
      <c r="S830" s="1"/>
    </row>
    <row r="831" spans="19:19">
      <c r="S831" s="1"/>
    </row>
    <row r="832" spans="19:19">
      <c r="S832" s="1"/>
    </row>
    <row r="833" spans="19:19">
      <c r="S833" s="1"/>
    </row>
    <row r="834" spans="19:19">
      <c r="S834" s="1"/>
    </row>
    <row r="835" spans="19:19">
      <c r="S835" s="1"/>
    </row>
    <row r="836" spans="19:19">
      <c r="S836" s="1"/>
    </row>
    <row r="837" spans="19:19">
      <c r="S837" s="1"/>
    </row>
    <row r="838" spans="19:19">
      <c r="S838" s="1"/>
    </row>
    <row r="839" spans="19:19">
      <c r="S839" s="1"/>
    </row>
    <row r="840" spans="19:19">
      <c r="S840" s="1"/>
    </row>
    <row r="841" spans="19:19">
      <c r="S841" s="1"/>
    </row>
    <row r="842" spans="19:19">
      <c r="S842" s="1"/>
    </row>
    <row r="843" spans="19:19">
      <c r="S843" s="1"/>
    </row>
    <row r="844" spans="19:19">
      <c r="S844" s="1"/>
    </row>
    <row r="845" spans="19:19">
      <c r="S845" s="1"/>
    </row>
    <row r="846" spans="19:19">
      <c r="S846" s="1"/>
    </row>
    <row r="847" spans="19:19">
      <c r="S847" s="1"/>
    </row>
    <row r="848" spans="19:19">
      <c r="S848" s="1"/>
    </row>
    <row r="849" spans="19:19">
      <c r="S849" s="1"/>
    </row>
    <row r="850" spans="19:19">
      <c r="S850" s="1"/>
    </row>
    <row r="851" spans="19:19">
      <c r="S851" s="1"/>
    </row>
    <row r="852" spans="19:19">
      <c r="S852" s="1"/>
    </row>
    <row r="853" spans="19:19">
      <c r="S853" s="1"/>
    </row>
    <row r="854" spans="19:19">
      <c r="S854" s="1"/>
    </row>
    <row r="855" spans="19:19">
      <c r="S855" s="1"/>
    </row>
    <row r="856" spans="19:19">
      <c r="S856" s="1"/>
    </row>
    <row r="857" spans="19:19">
      <c r="S857" s="1"/>
    </row>
    <row r="858" spans="19:19">
      <c r="S858" s="1"/>
    </row>
    <row r="859" spans="19:19">
      <c r="S859" s="1"/>
    </row>
    <row r="860" spans="19:19">
      <c r="S860" s="1"/>
    </row>
    <row r="861" spans="19:19">
      <c r="S861" s="1"/>
    </row>
    <row r="862" spans="19:19">
      <c r="S862" s="1"/>
    </row>
    <row r="863" spans="19:19">
      <c r="S863" s="1"/>
    </row>
    <row r="864" spans="19:19">
      <c r="S864" s="1"/>
    </row>
    <row r="865" spans="19:19">
      <c r="S865" s="1"/>
    </row>
    <row r="866" spans="19:19">
      <c r="S866" s="1"/>
    </row>
    <row r="867" spans="19:19">
      <c r="S867" s="1"/>
    </row>
    <row r="868" spans="19:19">
      <c r="S868" s="1"/>
    </row>
    <row r="869" spans="19:19">
      <c r="S869" s="1"/>
    </row>
    <row r="870" spans="19:19">
      <c r="S870" s="1"/>
    </row>
    <row r="871" spans="19:19">
      <c r="S871" s="1"/>
    </row>
    <row r="872" spans="19:19">
      <c r="S872" s="1"/>
    </row>
    <row r="873" spans="19:19">
      <c r="S873" s="1"/>
    </row>
    <row r="874" spans="19:19">
      <c r="S874" s="1"/>
    </row>
    <row r="875" spans="19:19">
      <c r="S875" s="1"/>
    </row>
    <row r="876" spans="19:19">
      <c r="S876" s="1"/>
    </row>
    <row r="877" spans="19:19">
      <c r="S877" s="1"/>
    </row>
    <row r="878" spans="19:19">
      <c r="S878" s="1"/>
    </row>
    <row r="879" spans="19:19">
      <c r="S879" s="1"/>
    </row>
    <row r="880" spans="19:19">
      <c r="S880" s="1"/>
    </row>
    <row r="881" spans="19:19">
      <c r="S881" s="1"/>
    </row>
    <row r="882" spans="19:19">
      <c r="S882" s="1"/>
    </row>
    <row r="883" spans="19:19">
      <c r="S883" s="1"/>
    </row>
    <row r="884" spans="19:19">
      <c r="S884" s="1"/>
    </row>
    <row r="885" spans="19:19">
      <c r="S885" s="1"/>
    </row>
    <row r="886" spans="19:19">
      <c r="S886" s="1"/>
    </row>
    <row r="887" spans="19:19">
      <c r="S887" s="1"/>
    </row>
    <row r="888" spans="19:19">
      <c r="S888" s="1"/>
    </row>
    <row r="889" spans="19:19">
      <c r="S889" s="1"/>
    </row>
    <row r="890" spans="19:19">
      <c r="S890" s="1"/>
    </row>
    <row r="891" spans="19:19">
      <c r="S891" s="1"/>
    </row>
    <row r="892" spans="19:19">
      <c r="S892" s="1"/>
    </row>
    <row r="893" spans="19:19">
      <c r="S893" s="1"/>
    </row>
    <row r="894" spans="19:19">
      <c r="S894" s="1"/>
    </row>
    <row r="895" spans="19:19">
      <c r="S895" s="1"/>
    </row>
    <row r="896" spans="19:19">
      <c r="S896" s="1"/>
    </row>
    <row r="897" spans="19:19">
      <c r="S897" s="1"/>
    </row>
    <row r="898" spans="19:19">
      <c r="S898" s="1"/>
    </row>
    <row r="899" spans="19:19">
      <c r="S899" s="1"/>
    </row>
    <row r="900" spans="19:19">
      <c r="S900" s="1"/>
    </row>
    <row r="901" spans="19:19">
      <c r="S901" s="1"/>
    </row>
    <row r="902" spans="19:19">
      <c r="S902" s="1"/>
    </row>
    <row r="903" spans="19:19">
      <c r="S903" s="1"/>
    </row>
    <row r="904" spans="19:19">
      <c r="S904" s="1"/>
    </row>
    <row r="905" spans="19:19">
      <c r="S905" s="1"/>
    </row>
    <row r="906" spans="19:19">
      <c r="S906" s="1"/>
    </row>
    <row r="907" spans="19:19">
      <c r="S907" s="1"/>
    </row>
    <row r="908" spans="19:19">
      <c r="S908" s="1"/>
    </row>
    <row r="909" spans="19:19">
      <c r="S909" s="1"/>
    </row>
    <row r="910" spans="19:19">
      <c r="S910" s="1"/>
    </row>
    <row r="911" spans="19:19">
      <c r="S911" s="1"/>
    </row>
    <row r="912" spans="19:19">
      <c r="S912" s="1"/>
    </row>
    <row r="913" spans="19:19">
      <c r="S913" s="1"/>
    </row>
    <row r="914" spans="19:19">
      <c r="S914" s="1"/>
    </row>
    <row r="915" spans="19:19">
      <c r="S915" s="1"/>
    </row>
    <row r="916" spans="19:19">
      <c r="S916" s="1"/>
    </row>
    <row r="917" spans="19:19">
      <c r="S917" s="1"/>
    </row>
    <row r="918" spans="19:19">
      <c r="S918" s="1"/>
    </row>
    <row r="919" spans="19:19">
      <c r="S919" s="1"/>
    </row>
    <row r="920" spans="19:19">
      <c r="S920" s="1"/>
    </row>
    <row r="921" spans="19:19">
      <c r="S921" s="1"/>
    </row>
    <row r="922" spans="19:19">
      <c r="S922" s="1"/>
    </row>
    <row r="923" spans="19:19">
      <c r="S923" s="1"/>
    </row>
    <row r="924" spans="19:19">
      <c r="S924" s="1"/>
    </row>
    <row r="925" spans="19:19">
      <c r="S925" s="1"/>
    </row>
    <row r="926" spans="19:19">
      <c r="S926" s="1"/>
    </row>
    <row r="927" spans="19:19">
      <c r="S927" s="1"/>
    </row>
    <row r="928" spans="19:19">
      <c r="S928" s="1"/>
    </row>
    <row r="929" spans="19:19">
      <c r="S929" s="1"/>
    </row>
    <row r="930" spans="19:19">
      <c r="S930" s="1"/>
    </row>
    <row r="931" spans="19:19">
      <c r="S931" s="1"/>
    </row>
    <row r="932" spans="19:19">
      <c r="S932" s="1"/>
    </row>
    <row r="933" spans="19:19">
      <c r="S933" s="1"/>
    </row>
    <row r="934" spans="19:19">
      <c r="S934" s="1"/>
    </row>
    <row r="935" spans="19:19">
      <c r="S935" s="1"/>
    </row>
    <row r="936" spans="19:19">
      <c r="S936" s="1"/>
    </row>
    <row r="937" spans="19:19">
      <c r="S937" s="1"/>
    </row>
    <row r="938" spans="19:19">
      <c r="S938" s="1"/>
    </row>
    <row r="939" spans="19:19">
      <c r="S939" s="1"/>
    </row>
    <row r="940" spans="19:19">
      <c r="S940" s="1"/>
    </row>
    <row r="941" spans="19:19">
      <c r="S941" s="1"/>
    </row>
    <row r="942" spans="19:19">
      <c r="S942" s="1"/>
    </row>
    <row r="943" spans="19:19">
      <c r="S943" s="1"/>
    </row>
    <row r="944" spans="19:19">
      <c r="S944" s="1"/>
    </row>
    <row r="945" spans="19:19">
      <c r="S945" s="1"/>
    </row>
    <row r="946" spans="19:19">
      <c r="S946" s="1"/>
    </row>
    <row r="947" spans="19:19">
      <c r="S947" s="1"/>
    </row>
    <row r="948" spans="19:19">
      <c r="S948" s="1"/>
    </row>
    <row r="949" spans="19:19">
      <c r="S949" s="1"/>
    </row>
    <row r="950" spans="19:19">
      <c r="S950" s="1"/>
    </row>
    <row r="951" spans="19:19">
      <c r="S951" s="1"/>
    </row>
    <row r="952" spans="19:19">
      <c r="S952" s="1"/>
    </row>
    <row r="953" spans="19:19">
      <c r="S953" s="1"/>
    </row>
    <row r="954" spans="19:19">
      <c r="S954" s="1"/>
    </row>
    <row r="955" spans="19:19">
      <c r="S955" s="1"/>
    </row>
    <row r="956" spans="19:19">
      <c r="S956" s="1"/>
    </row>
    <row r="957" spans="19:19">
      <c r="S957" s="1"/>
    </row>
    <row r="958" spans="19:19">
      <c r="S958" s="1"/>
    </row>
    <row r="959" spans="19:19">
      <c r="S959" s="1"/>
    </row>
    <row r="960" spans="19:19">
      <c r="S960" s="1"/>
    </row>
    <row r="961" spans="19:19">
      <c r="S961" s="1"/>
    </row>
    <row r="962" spans="19:19">
      <c r="S962" s="1"/>
    </row>
    <row r="963" spans="19:19">
      <c r="S963" s="1"/>
    </row>
    <row r="964" spans="19:19">
      <c r="S964" s="1"/>
    </row>
    <row r="965" spans="19:19">
      <c r="S965" s="1"/>
    </row>
    <row r="966" spans="19:19">
      <c r="S966" s="1"/>
    </row>
    <row r="967" spans="19:19">
      <c r="S967" s="1"/>
    </row>
    <row r="968" spans="19:19">
      <c r="S968" s="1"/>
    </row>
    <row r="969" spans="19:19">
      <c r="S969" s="1"/>
    </row>
    <row r="970" spans="19:19">
      <c r="S970" s="1"/>
    </row>
    <row r="971" spans="19:19">
      <c r="S971" s="1"/>
    </row>
    <row r="972" spans="19:19">
      <c r="S972" s="1"/>
    </row>
    <row r="973" spans="19:19">
      <c r="S973" s="1"/>
    </row>
    <row r="974" spans="19:19">
      <c r="S974" s="1"/>
    </row>
    <row r="975" spans="19:19">
      <c r="S975" s="1"/>
    </row>
    <row r="976" spans="19:19">
      <c r="S976" s="1"/>
    </row>
    <row r="977" spans="19:19">
      <c r="S977" s="1"/>
    </row>
    <row r="978" spans="19:19">
      <c r="S978" s="1"/>
    </row>
    <row r="979" spans="19:19">
      <c r="S979" s="1"/>
    </row>
    <row r="980" spans="19:19">
      <c r="S980" s="1"/>
    </row>
    <row r="981" spans="19:19">
      <c r="S981" s="1"/>
    </row>
    <row r="982" spans="19:19">
      <c r="S982" s="1"/>
    </row>
    <row r="983" spans="19:19">
      <c r="S983" s="1"/>
    </row>
    <row r="984" spans="19:19">
      <c r="S984" s="1"/>
    </row>
    <row r="985" spans="19:19">
      <c r="S985" s="1"/>
    </row>
    <row r="986" spans="19:19">
      <c r="S986" s="1"/>
    </row>
    <row r="987" spans="19:19">
      <c r="S987" s="1"/>
    </row>
    <row r="988" spans="19:19">
      <c r="S988" s="1"/>
    </row>
    <row r="989" spans="19:19">
      <c r="S989" s="1"/>
    </row>
    <row r="990" spans="19:19">
      <c r="S990" s="1"/>
    </row>
    <row r="991" spans="19:19">
      <c r="S991" s="1"/>
    </row>
    <row r="992" spans="19:19">
      <c r="S992" s="1"/>
    </row>
    <row r="993" spans="19:19">
      <c r="S993" s="1"/>
    </row>
    <row r="994" spans="19:19">
      <c r="S994" s="1"/>
    </row>
    <row r="995" spans="19:19">
      <c r="S995" s="1"/>
    </row>
    <row r="996" spans="19:19">
      <c r="S996" s="1"/>
    </row>
    <row r="997" spans="19:19">
      <c r="S997" s="1"/>
    </row>
    <row r="998" spans="19:19">
      <c r="S998" s="1"/>
    </row>
    <row r="999" spans="19:19">
      <c r="S999" s="1"/>
    </row>
    <row r="1000" spans="19:19">
      <c r="S1000" s="1"/>
    </row>
    <row r="1001" spans="19:19">
      <c r="S1001" s="1"/>
    </row>
    <row r="1002" spans="19:19">
      <c r="S1002" s="1"/>
    </row>
    <row r="1003" spans="19:19">
      <c r="S1003" s="1"/>
    </row>
    <row r="1004" spans="19:19">
      <c r="S1004" s="1"/>
    </row>
    <row r="1005" spans="19:19">
      <c r="S1005" s="1"/>
    </row>
    <row r="1006" spans="19:19">
      <c r="S1006" s="1"/>
    </row>
    <row r="1007" spans="19:19">
      <c r="S1007" s="1"/>
    </row>
    <row r="1008" spans="19:19">
      <c r="S1008" s="1"/>
    </row>
    <row r="1009" spans="19:19">
      <c r="S1009" s="1"/>
    </row>
    <row r="1010" spans="19:19">
      <c r="S1010" s="1"/>
    </row>
    <row r="1011" spans="19:19">
      <c r="S1011" s="1"/>
    </row>
    <row r="1012" spans="19:19">
      <c r="S1012" s="1"/>
    </row>
    <row r="1013" spans="19:19">
      <c r="S1013" s="1"/>
    </row>
    <row r="1014" spans="19:19">
      <c r="S1014" s="1"/>
    </row>
    <row r="1015" spans="19:19">
      <c r="S1015" s="1"/>
    </row>
    <row r="1016" spans="19:19">
      <c r="S1016" s="1"/>
    </row>
    <row r="1017" spans="19:19">
      <c r="S1017" s="1"/>
    </row>
    <row r="1018" spans="19:19">
      <c r="S1018" s="1"/>
    </row>
    <row r="1019" spans="19:19">
      <c r="S1019" s="1"/>
    </row>
    <row r="1020" spans="19:19">
      <c r="S1020" s="1"/>
    </row>
    <row r="1021" spans="19:19">
      <c r="S1021" s="1"/>
    </row>
    <row r="1022" spans="19:19">
      <c r="S1022" s="1"/>
    </row>
    <row r="1023" spans="19:19">
      <c r="S1023" s="1"/>
    </row>
    <row r="1024" spans="19:19">
      <c r="S1024" s="1"/>
    </row>
    <row r="1025" spans="19:19">
      <c r="S1025" s="1"/>
    </row>
    <row r="1026" spans="19:19">
      <c r="S1026" s="1"/>
    </row>
    <row r="1027" spans="19:19">
      <c r="S1027" s="1"/>
    </row>
    <row r="1028" spans="19:19">
      <c r="S1028" s="1"/>
    </row>
    <row r="1029" spans="19:19">
      <c r="S1029" s="1"/>
    </row>
    <row r="1030" spans="19:19">
      <c r="S1030" s="1"/>
    </row>
    <row r="1031" spans="19:19">
      <c r="S1031" s="1"/>
    </row>
    <row r="1032" spans="19:19">
      <c r="S1032" s="1"/>
    </row>
    <row r="1033" spans="19:19">
      <c r="S1033" s="1"/>
    </row>
    <row r="1034" spans="19:19">
      <c r="S1034" s="1"/>
    </row>
    <row r="1035" spans="19:19">
      <c r="S1035" s="1"/>
    </row>
    <row r="1036" spans="19:19">
      <c r="S1036" s="1"/>
    </row>
    <row r="1037" spans="19:19">
      <c r="S1037" s="1"/>
    </row>
    <row r="1038" spans="19:19">
      <c r="S1038" s="1"/>
    </row>
    <row r="1039" spans="19:19">
      <c r="S1039" s="1"/>
    </row>
    <row r="1040" spans="19:19">
      <c r="S1040" s="1"/>
    </row>
    <row r="1041" spans="19:19">
      <c r="S1041" s="1"/>
    </row>
    <row r="1042" spans="19:19">
      <c r="S1042" s="1"/>
    </row>
    <row r="1043" spans="19:19">
      <c r="S1043" s="1"/>
    </row>
    <row r="1044" spans="19:19">
      <c r="S1044" s="1"/>
    </row>
    <row r="1045" spans="19:19">
      <c r="S1045" s="1"/>
    </row>
    <row r="1046" spans="19:19">
      <c r="S1046" s="1"/>
    </row>
    <row r="1047" spans="19:19">
      <c r="S1047" s="1"/>
    </row>
    <row r="1048" spans="19:19">
      <c r="S1048" s="1"/>
    </row>
    <row r="1049" spans="19:19">
      <c r="S1049" s="1"/>
    </row>
    <row r="1050" spans="19:19">
      <c r="S1050" s="1"/>
    </row>
    <row r="1051" spans="19:19">
      <c r="S1051" s="1"/>
    </row>
    <row r="1052" spans="19:19">
      <c r="S1052" s="1"/>
    </row>
    <row r="1053" spans="19:19">
      <c r="S1053" s="1"/>
    </row>
    <row r="1054" spans="19:19">
      <c r="S1054" s="1"/>
    </row>
    <row r="1055" spans="19:19">
      <c r="S1055" s="1"/>
    </row>
    <row r="1056" spans="19:19">
      <c r="S1056" s="1"/>
    </row>
    <row r="1057" spans="19:19">
      <c r="S1057" s="1"/>
    </row>
    <row r="1058" spans="19:19">
      <c r="S1058" s="1"/>
    </row>
    <row r="1059" spans="19:19">
      <c r="S1059" s="1"/>
    </row>
    <row r="1060" spans="19:19">
      <c r="S1060" s="1"/>
    </row>
    <row r="1061" spans="19:19">
      <c r="S1061" s="1"/>
    </row>
    <row r="1062" spans="19:19">
      <c r="S1062" s="1"/>
    </row>
    <row r="1063" spans="19:19">
      <c r="S1063" s="1"/>
    </row>
    <row r="1064" spans="19:19">
      <c r="S1064" s="1"/>
    </row>
    <row r="1065" spans="19:19">
      <c r="S1065" s="1"/>
    </row>
    <row r="1066" spans="19:19">
      <c r="S1066" s="1"/>
    </row>
    <row r="1067" spans="19:19">
      <c r="S1067" s="1"/>
    </row>
    <row r="1068" spans="19:19">
      <c r="S1068" s="1"/>
    </row>
    <row r="1069" spans="19:19">
      <c r="S1069" s="1"/>
    </row>
    <row r="1070" spans="19:19">
      <c r="S1070" s="1"/>
    </row>
    <row r="1071" spans="19:19">
      <c r="S1071" s="1"/>
    </row>
    <row r="1072" spans="19:19">
      <c r="S1072" s="1"/>
    </row>
    <row r="1073" spans="19:19">
      <c r="S1073" s="1"/>
    </row>
    <row r="1074" spans="19:19">
      <c r="S1074" s="1"/>
    </row>
    <row r="1075" spans="19:19">
      <c r="S1075" s="1"/>
    </row>
    <row r="1076" spans="19:19">
      <c r="S1076" s="1"/>
    </row>
    <row r="1077" spans="19:19">
      <c r="S1077" s="1"/>
    </row>
    <row r="1078" spans="19:19">
      <c r="S1078" s="1"/>
    </row>
    <row r="1079" spans="19:19">
      <c r="S1079" s="1"/>
    </row>
    <row r="1080" spans="19:19">
      <c r="S1080" s="1"/>
    </row>
    <row r="1081" spans="19:19">
      <c r="S1081" s="1"/>
    </row>
    <row r="1082" spans="19:19">
      <c r="S1082" s="1"/>
    </row>
    <row r="1083" spans="19:19">
      <c r="S1083" s="1"/>
    </row>
    <row r="1084" spans="19:19">
      <c r="S1084" s="1"/>
    </row>
    <row r="1085" spans="19:19">
      <c r="S1085" s="1"/>
    </row>
    <row r="1086" spans="19:19">
      <c r="S1086" s="1"/>
    </row>
    <row r="1087" spans="19:19">
      <c r="S1087" s="1"/>
    </row>
    <row r="1088" spans="19:19">
      <c r="S1088" s="1"/>
    </row>
    <row r="1089" spans="19:19">
      <c r="S1089" s="1"/>
    </row>
    <row r="1090" spans="19:19">
      <c r="S1090" s="1"/>
    </row>
    <row r="1091" spans="19:19">
      <c r="S1091" s="1"/>
    </row>
    <row r="1092" spans="19:19">
      <c r="S1092" s="1"/>
    </row>
    <row r="1093" spans="19:19">
      <c r="S1093" s="1"/>
    </row>
    <row r="1094" spans="19:19">
      <c r="S1094" s="1"/>
    </row>
    <row r="1095" spans="19:19">
      <c r="S1095" s="1"/>
    </row>
    <row r="1096" spans="19:19">
      <c r="S1096" s="1"/>
    </row>
    <row r="1097" spans="19:19">
      <c r="S1097" s="1"/>
    </row>
    <row r="1098" spans="19:19">
      <c r="S1098" s="1"/>
    </row>
    <row r="1099" spans="19:19">
      <c r="S1099" s="1"/>
    </row>
    <row r="1100" spans="19:19">
      <c r="S1100" s="1"/>
    </row>
    <row r="1101" spans="19:19">
      <c r="S1101" s="1"/>
    </row>
    <row r="1102" spans="19:19">
      <c r="S1102" s="1"/>
    </row>
    <row r="1103" spans="19:19">
      <c r="S1103" s="1"/>
    </row>
    <row r="1104" spans="19:19">
      <c r="S1104" s="1"/>
    </row>
    <row r="1105" spans="19:19">
      <c r="S1105" s="1"/>
    </row>
    <row r="1106" spans="19:19">
      <c r="S1106" s="1"/>
    </row>
    <row r="1107" spans="19:19">
      <c r="S1107" s="1"/>
    </row>
    <row r="1108" spans="19:19">
      <c r="S1108" s="1"/>
    </row>
    <row r="1109" spans="19:19">
      <c r="S1109" s="1"/>
    </row>
    <row r="1110" spans="19:19">
      <c r="S1110" s="1"/>
    </row>
    <row r="1111" spans="19:19">
      <c r="S1111" s="1"/>
    </row>
    <row r="1112" spans="19:19">
      <c r="S1112" s="1"/>
    </row>
    <row r="1113" spans="19:19">
      <c r="S1113" s="1"/>
    </row>
    <row r="1114" spans="19:19">
      <c r="S1114" s="1"/>
    </row>
    <row r="1115" spans="19:19">
      <c r="S1115" s="1"/>
    </row>
    <row r="1116" spans="19:19">
      <c r="S1116" s="1"/>
    </row>
    <row r="1117" spans="19:19">
      <c r="S1117" s="1"/>
    </row>
    <row r="1118" spans="19:19">
      <c r="S1118" s="1"/>
    </row>
    <row r="1119" spans="19:19">
      <c r="S1119" s="1"/>
    </row>
    <row r="1120" spans="19:19">
      <c r="S1120" s="1"/>
    </row>
    <row r="1121" spans="19:19">
      <c r="S1121" s="1"/>
    </row>
    <row r="1122" spans="19:19">
      <c r="S1122" s="1"/>
    </row>
    <row r="1123" spans="19:19">
      <c r="S1123" s="1"/>
    </row>
    <row r="1124" spans="19:19">
      <c r="S1124" s="1"/>
    </row>
    <row r="1125" spans="19:19">
      <c r="S1125" s="1"/>
    </row>
    <row r="1126" spans="19:19">
      <c r="S1126" s="1"/>
    </row>
    <row r="1127" spans="19:19">
      <c r="S1127" s="1"/>
    </row>
    <row r="1128" spans="19:19">
      <c r="S1128" s="1"/>
    </row>
    <row r="1129" spans="19:19">
      <c r="S1129" s="1"/>
    </row>
    <row r="1130" spans="19:19">
      <c r="S1130" s="1"/>
    </row>
    <row r="1131" spans="19:19">
      <c r="S1131" s="1"/>
    </row>
    <row r="1132" spans="19:19">
      <c r="S1132" s="1"/>
    </row>
    <row r="1133" spans="19:19">
      <c r="S1133" s="1"/>
    </row>
    <row r="1134" spans="19:19">
      <c r="S1134" s="1"/>
    </row>
    <row r="1135" spans="19:19">
      <c r="S1135" s="1"/>
    </row>
    <row r="1136" spans="19:19">
      <c r="S1136" s="1"/>
    </row>
    <row r="1137" spans="19:19">
      <c r="S1137" s="1"/>
    </row>
    <row r="1138" spans="19:19">
      <c r="S1138" s="1"/>
    </row>
    <row r="1139" spans="19:19">
      <c r="S1139" s="1"/>
    </row>
    <row r="1140" spans="19:19">
      <c r="S1140" s="1"/>
    </row>
    <row r="1141" spans="19:19">
      <c r="S1141" s="1"/>
    </row>
    <row r="1142" spans="19:19">
      <c r="S1142" s="1"/>
    </row>
    <row r="1143" spans="19:19">
      <c r="S1143" s="1"/>
    </row>
    <row r="1144" spans="19:19">
      <c r="S1144" s="1"/>
    </row>
    <row r="1145" spans="19:19">
      <c r="S1145" s="1"/>
    </row>
    <row r="1146" spans="19:19">
      <c r="S1146" s="1"/>
    </row>
    <row r="1147" spans="19:19">
      <c r="S1147" s="1"/>
    </row>
    <row r="1148" spans="19:19">
      <c r="S1148" s="1"/>
    </row>
    <row r="1149" spans="19:19">
      <c r="S1149" s="1"/>
    </row>
    <row r="1150" spans="19:19">
      <c r="S1150" s="1"/>
    </row>
    <row r="1151" spans="19:19">
      <c r="S1151" s="1"/>
    </row>
    <row r="1152" spans="19:19">
      <c r="S1152" s="1"/>
    </row>
    <row r="1153" spans="19:19">
      <c r="S1153" s="1"/>
    </row>
    <row r="1154" spans="19:19">
      <c r="S1154" s="1"/>
    </row>
    <row r="1155" spans="19:19">
      <c r="S1155" s="1"/>
    </row>
    <row r="1156" spans="19:19">
      <c r="S1156" s="1"/>
    </row>
    <row r="1157" spans="19:19">
      <c r="S1157" s="1"/>
    </row>
    <row r="1158" spans="19:19">
      <c r="S1158" s="1"/>
    </row>
    <row r="1159" spans="19:19">
      <c r="S1159" s="1"/>
    </row>
    <row r="1160" spans="19:19">
      <c r="S1160" s="1"/>
    </row>
    <row r="1161" spans="19:19">
      <c r="S1161" s="1"/>
    </row>
    <row r="1162" spans="19:19">
      <c r="S1162" s="1"/>
    </row>
    <row r="1163" spans="19:19">
      <c r="S1163" s="1"/>
    </row>
    <row r="1164" spans="19:19">
      <c r="S1164" s="1"/>
    </row>
    <row r="1165" spans="19:19">
      <c r="S1165" s="1"/>
    </row>
    <row r="1166" spans="19:19">
      <c r="S1166" s="1"/>
    </row>
    <row r="1167" spans="19:19">
      <c r="S1167" s="1"/>
    </row>
    <row r="1168" spans="19:19">
      <c r="S1168" s="1"/>
    </row>
    <row r="1169" spans="19:19">
      <c r="S1169" s="1"/>
    </row>
    <row r="1170" spans="19:19">
      <c r="S1170" s="1"/>
    </row>
    <row r="1171" spans="19:19">
      <c r="S1171" s="1"/>
    </row>
    <row r="1172" spans="19:19">
      <c r="S1172" s="1"/>
    </row>
    <row r="1173" spans="19:19">
      <c r="S1173" s="1"/>
    </row>
    <row r="1174" spans="19:19">
      <c r="S1174" s="1"/>
    </row>
    <row r="1175" spans="19:19">
      <c r="S1175" s="1"/>
    </row>
    <row r="1176" spans="19:19">
      <c r="S1176" s="1"/>
    </row>
    <row r="1177" spans="19:19">
      <c r="S1177" s="1"/>
    </row>
    <row r="1178" spans="19:19">
      <c r="S1178" s="1"/>
    </row>
    <row r="1179" spans="19:19">
      <c r="S1179" s="1"/>
    </row>
    <row r="1180" spans="19:19">
      <c r="S1180" s="1"/>
    </row>
    <row r="1181" spans="19:19">
      <c r="S1181" s="1"/>
    </row>
    <row r="1182" spans="19:19">
      <c r="S1182" s="1"/>
    </row>
    <row r="1183" spans="19:19">
      <c r="S1183" s="1"/>
    </row>
    <row r="1184" spans="19:19">
      <c r="S1184" s="1"/>
    </row>
    <row r="1185" spans="19:19">
      <c r="S1185" s="1"/>
    </row>
    <row r="1186" spans="19:19">
      <c r="S1186" s="1"/>
    </row>
    <row r="1187" spans="19:19">
      <c r="S1187" s="1"/>
    </row>
    <row r="1188" spans="19:19">
      <c r="S1188" s="1"/>
    </row>
    <row r="1189" spans="19:19">
      <c r="S1189" s="1"/>
    </row>
    <row r="1190" spans="19:19">
      <c r="S1190" s="1"/>
    </row>
    <row r="1191" spans="19:19">
      <c r="S1191" s="1"/>
    </row>
    <row r="1192" spans="19:19">
      <c r="S1192" s="1"/>
    </row>
    <row r="1193" spans="19:19">
      <c r="S1193" s="1"/>
    </row>
    <row r="1194" spans="19:19">
      <c r="S1194" s="1"/>
    </row>
    <row r="1195" spans="19:19">
      <c r="S1195" s="1"/>
    </row>
    <row r="1196" spans="19:19">
      <c r="S1196" s="1"/>
    </row>
    <row r="1197" spans="19:19">
      <c r="S1197" s="1"/>
    </row>
    <row r="1198" spans="19:19">
      <c r="S1198" s="1"/>
    </row>
    <row r="1199" spans="19:19">
      <c r="S1199" s="1"/>
    </row>
    <row r="1200" spans="19:19">
      <c r="S1200" s="1"/>
    </row>
    <row r="1201" spans="19:19">
      <c r="S1201" s="1"/>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P601"/>
  <sheetViews>
    <sheetView workbookViewId="0">
      <selection activeCell="D122" sqref="D122"/>
    </sheetView>
  </sheetViews>
  <sheetFormatPr defaultRowHeight="15"/>
  <cols>
    <col min="1" max="1" width="9.85546875" bestFit="1" customWidth="1"/>
    <col min="2" max="2" width="19" customWidth="1"/>
    <col min="3" max="3" width="11.5703125" customWidth="1"/>
    <col min="4" max="4" width="12.85546875" customWidth="1"/>
    <col min="5" max="5" width="17.140625" customWidth="1"/>
    <col min="6" max="6" width="11.140625" customWidth="1"/>
    <col min="7" max="7" width="9.42578125" customWidth="1"/>
    <col min="9" max="9" width="12.5703125" customWidth="1"/>
    <col min="11" max="11" width="14" customWidth="1"/>
    <col min="15" max="15" width="13" customWidth="1"/>
    <col min="16" max="16" width="12.5703125" customWidth="1"/>
  </cols>
  <sheetData>
    <row r="1" spans="1:16">
      <c r="A1" t="s">
        <v>0</v>
      </c>
      <c r="B1" t="s">
        <v>81</v>
      </c>
      <c r="C1" t="s">
        <v>43</v>
      </c>
      <c r="D1" t="s">
        <v>44</v>
      </c>
      <c r="E1" t="s">
        <v>82</v>
      </c>
      <c r="F1" t="s">
        <v>45</v>
      </c>
      <c r="G1" t="s">
        <v>83</v>
      </c>
      <c r="I1" t="s">
        <v>0</v>
      </c>
      <c r="J1" t="s">
        <v>1</v>
      </c>
      <c r="K1" t="s">
        <v>2</v>
      </c>
      <c r="L1" t="s">
        <v>3</v>
      </c>
      <c r="O1" t="s">
        <v>43</v>
      </c>
      <c r="P1" t="s">
        <v>58</v>
      </c>
    </row>
    <row r="2" spans="1:16">
      <c r="A2" s="1">
        <v>44562</v>
      </c>
      <c r="B2" s="1" t="str">
        <f>VLOOKUP(A2,$I$2:$K$9,3,FALSE)</f>
        <v>Before 5G</v>
      </c>
      <c r="C2">
        <v>400001</v>
      </c>
      <c r="D2" t="str">
        <f>VLOOKUP(C2,$O$2:$P$16,2,FALSE)</f>
        <v>Mumbai</v>
      </c>
      <c r="E2">
        <v>286.29000000000002</v>
      </c>
      <c r="F2" t="s">
        <v>66</v>
      </c>
      <c r="G2">
        <v>21.2</v>
      </c>
      <c r="I2" s="1">
        <v>44562</v>
      </c>
      <c r="J2" t="s">
        <v>4</v>
      </c>
      <c r="K2" t="s">
        <v>5</v>
      </c>
      <c r="L2">
        <v>1</v>
      </c>
      <c r="O2">
        <v>400001</v>
      </c>
      <c r="P2" t="s">
        <v>65</v>
      </c>
    </row>
    <row r="3" spans="1:16">
      <c r="A3" s="1">
        <v>44562</v>
      </c>
      <c r="B3" s="1" t="str">
        <f t="shared" ref="B3:B66" si="0">VLOOKUP(A3,$I$2:$K$9,3,FALSE)</f>
        <v>Before 5G</v>
      </c>
      <c r="C3">
        <v>110001</v>
      </c>
      <c r="D3" t="str">
        <f t="shared" ref="D3:D66" si="1">VLOOKUP(C3,$O$2:$P$16,2,FALSE)</f>
        <v>Delhi</v>
      </c>
      <c r="E3">
        <v>241.59</v>
      </c>
      <c r="F3" t="s">
        <v>66</v>
      </c>
      <c r="G3">
        <v>17.68</v>
      </c>
      <c r="I3" s="1">
        <v>44593</v>
      </c>
      <c r="J3" t="s">
        <v>6</v>
      </c>
      <c r="K3" t="s">
        <v>5</v>
      </c>
      <c r="L3">
        <v>2</v>
      </c>
      <c r="O3">
        <v>110001</v>
      </c>
      <c r="P3" t="s">
        <v>67</v>
      </c>
    </row>
    <row r="4" spans="1:16">
      <c r="A4" s="1">
        <v>44562</v>
      </c>
      <c r="B4" s="1" t="str">
        <f t="shared" si="0"/>
        <v>Before 5G</v>
      </c>
      <c r="C4">
        <v>700001</v>
      </c>
      <c r="D4" t="str">
        <f t="shared" si="1"/>
        <v>Kolkata</v>
      </c>
      <c r="E4">
        <v>222.19</v>
      </c>
      <c r="F4" t="s">
        <v>66</v>
      </c>
      <c r="G4">
        <v>16.61</v>
      </c>
      <c r="I4" s="1">
        <v>44621</v>
      </c>
      <c r="J4" t="s">
        <v>7</v>
      </c>
      <c r="K4" t="s">
        <v>5</v>
      </c>
      <c r="L4">
        <v>3</v>
      </c>
      <c r="O4">
        <v>700001</v>
      </c>
      <c r="P4" t="s">
        <v>68</v>
      </c>
    </row>
    <row r="5" spans="1:16">
      <c r="A5" s="1">
        <v>44562</v>
      </c>
      <c r="B5" s="1" t="str">
        <f t="shared" si="0"/>
        <v>Before 5G</v>
      </c>
      <c r="C5">
        <v>560001</v>
      </c>
      <c r="D5" t="str">
        <f t="shared" si="1"/>
        <v>Bangalore</v>
      </c>
      <c r="E5">
        <v>195.41</v>
      </c>
      <c r="F5" t="s">
        <v>66</v>
      </c>
      <c r="G5">
        <v>19.14</v>
      </c>
      <c r="I5" s="1">
        <v>44652</v>
      </c>
      <c r="J5" t="s">
        <v>8</v>
      </c>
      <c r="K5" t="s">
        <v>5</v>
      </c>
      <c r="L5">
        <v>4</v>
      </c>
      <c r="O5">
        <v>560001</v>
      </c>
      <c r="P5" t="s">
        <v>69</v>
      </c>
    </row>
    <row r="6" spans="1:16">
      <c r="A6" s="1">
        <v>44562</v>
      </c>
      <c r="B6" s="1" t="str">
        <f t="shared" si="0"/>
        <v>Before 5G</v>
      </c>
      <c r="C6">
        <v>600001</v>
      </c>
      <c r="D6" t="str">
        <f t="shared" si="1"/>
        <v>Chennai</v>
      </c>
      <c r="E6">
        <v>166.78</v>
      </c>
      <c r="F6" t="s">
        <v>66</v>
      </c>
      <c r="G6">
        <v>18.47</v>
      </c>
      <c r="I6" s="1">
        <v>44713</v>
      </c>
      <c r="J6" t="s">
        <v>9</v>
      </c>
      <c r="K6" t="s">
        <v>10</v>
      </c>
      <c r="L6">
        <v>1</v>
      </c>
      <c r="O6">
        <v>600001</v>
      </c>
      <c r="P6" t="s">
        <v>70</v>
      </c>
    </row>
    <row r="7" spans="1:16">
      <c r="A7" s="1">
        <v>44562</v>
      </c>
      <c r="B7" s="1" t="str">
        <f t="shared" si="0"/>
        <v>Before 5G</v>
      </c>
      <c r="C7">
        <v>500001</v>
      </c>
      <c r="D7" t="str">
        <f t="shared" si="1"/>
        <v>Hyderabad</v>
      </c>
      <c r="E7">
        <v>148.68</v>
      </c>
      <c r="F7" t="s">
        <v>66</v>
      </c>
      <c r="G7">
        <v>19</v>
      </c>
      <c r="I7" s="1">
        <v>44743</v>
      </c>
      <c r="J7" t="s">
        <v>11</v>
      </c>
      <c r="K7" t="s">
        <v>10</v>
      </c>
      <c r="L7">
        <v>2</v>
      </c>
      <c r="O7">
        <v>500001</v>
      </c>
      <c r="P7" t="s">
        <v>71</v>
      </c>
    </row>
    <row r="8" spans="1:16">
      <c r="A8" s="1">
        <v>44562</v>
      </c>
      <c r="B8" s="1" t="str">
        <f t="shared" si="0"/>
        <v>Before 5G</v>
      </c>
      <c r="C8">
        <v>411001</v>
      </c>
      <c r="D8" t="str">
        <f t="shared" si="1"/>
        <v>Pune</v>
      </c>
      <c r="E8">
        <v>141.30000000000001</v>
      </c>
      <c r="F8" t="s">
        <v>66</v>
      </c>
      <c r="G8">
        <v>17.14</v>
      </c>
      <c r="I8" s="1">
        <v>44774</v>
      </c>
      <c r="J8" t="s">
        <v>12</v>
      </c>
      <c r="K8" t="s">
        <v>10</v>
      </c>
      <c r="L8">
        <v>3</v>
      </c>
      <c r="O8">
        <v>411001</v>
      </c>
      <c r="P8" t="s">
        <v>72</v>
      </c>
    </row>
    <row r="9" spans="1:16">
      <c r="A9" s="1">
        <v>44562</v>
      </c>
      <c r="B9" s="1" t="str">
        <f t="shared" si="0"/>
        <v>Before 5G</v>
      </c>
      <c r="C9">
        <v>380001</v>
      </c>
      <c r="D9" t="str">
        <f t="shared" si="1"/>
        <v>Ahmedabad</v>
      </c>
      <c r="E9">
        <v>110.08</v>
      </c>
      <c r="F9" t="s">
        <v>66</v>
      </c>
      <c r="G9">
        <v>19.05</v>
      </c>
      <c r="I9" s="1">
        <v>44805</v>
      </c>
      <c r="J9" t="s">
        <v>13</v>
      </c>
      <c r="K9" t="s">
        <v>10</v>
      </c>
      <c r="L9">
        <v>4</v>
      </c>
      <c r="O9">
        <v>380001</v>
      </c>
      <c r="P9" t="s">
        <v>73</v>
      </c>
    </row>
    <row r="10" spans="1:16">
      <c r="A10" s="1">
        <v>44562</v>
      </c>
      <c r="B10" s="1" t="str">
        <f t="shared" si="0"/>
        <v>Before 5G</v>
      </c>
      <c r="C10">
        <v>302001</v>
      </c>
      <c r="D10" t="str">
        <f t="shared" si="1"/>
        <v>Jaipur</v>
      </c>
      <c r="E10">
        <v>79.05</v>
      </c>
      <c r="F10" t="s">
        <v>66</v>
      </c>
      <c r="G10">
        <v>28.1</v>
      </c>
      <c r="O10">
        <v>302001</v>
      </c>
      <c r="P10" t="s">
        <v>74</v>
      </c>
    </row>
    <row r="11" spans="1:16">
      <c r="A11" s="1">
        <v>44562</v>
      </c>
      <c r="B11" s="1" t="str">
        <f t="shared" si="0"/>
        <v>Before 5G</v>
      </c>
      <c r="C11">
        <v>226001</v>
      </c>
      <c r="D11" t="str">
        <f t="shared" si="1"/>
        <v>Lucknow</v>
      </c>
      <c r="E11">
        <v>67.599999999999994</v>
      </c>
      <c r="F11" t="s">
        <v>66</v>
      </c>
      <c r="G11">
        <v>17.54</v>
      </c>
      <c r="O11">
        <v>226001</v>
      </c>
      <c r="P11" t="s">
        <v>75</v>
      </c>
    </row>
    <row r="12" spans="1:16">
      <c r="A12" s="1">
        <v>44562</v>
      </c>
      <c r="B12" s="1" t="str">
        <f t="shared" si="0"/>
        <v>Before 5G</v>
      </c>
      <c r="C12">
        <v>800008</v>
      </c>
      <c r="D12" t="str">
        <f t="shared" si="1"/>
        <v>Patna</v>
      </c>
      <c r="E12">
        <v>55.78</v>
      </c>
      <c r="F12" t="s">
        <v>66</v>
      </c>
      <c r="G12">
        <v>26.15</v>
      </c>
      <c r="O12">
        <v>800008</v>
      </c>
      <c r="P12" t="s">
        <v>76</v>
      </c>
    </row>
    <row r="13" spans="1:16">
      <c r="A13" s="1">
        <v>44562</v>
      </c>
      <c r="B13" s="1" t="str">
        <f t="shared" si="0"/>
        <v>Before 5G</v>
      </c>
      <c r="C13">
        <v>641001</v>
      </c>
      <c r="D13" t="str">
        <f t="shared" si="1"/>
        <v>Coimbatore</v>
      </c>
      <c r="E13">
        <v>50.24</v>
      </c>
      <c r="F13" t="s">
        <v>66</v>
      </c>
      <c r="G13">
        <v>15.57</v>
      </c>
      <c r="O13">
        <v>641001</v>
      </c>
      <c r="P13" t="s">
        <v>77</v>
      </c>
    </row>
    <row r="14" spans="1:16">
      <c r="A14" s="1">
        <v>44562</v>
      </c>
      <c r="B14" s="1" t="str">
        <f t="shared" si="0"/>
        <v>Before 5G</v>
      </c>
      <c r="C14">
        <v>160017</v>
      </c>
      <c r="D14" t="str">
        <f t="shared" si="1"/>
        <v>Chandigarh</v>
      </c>
      <c r="E14">
        <v>36.57</v>
      </c>
      <c r="F14" t="s">
        <v>66</v>
      </c>
      <c r="G14">
        <v>17.36</v>
      </c>
      <c r="O14">
        <v>160017</v>
      </c>
      <c r="P14" t="s">
        <v>78</v>
      </c>
    </row>
    <row r="15" spans="1:16">
      <c r="A15" s="1">
        <v>44562</v>
      </c>
      <c r="B15" s="1" t="str">
        <f t="shared" si="0"/>
        <v>Before 5G</v>
      </c>
      <c r="C15">
        <v>122001</v>
      </c>
      <c r="D15" t="str">
        <f t="shared" si="1"/>
        <v>Gurgaon</v>
      </c>
      <c r="E15">
        <v>27.89</v>
      </c>
      <c r="F15" t="s">
        <v>66</v>
      </c>
      <c r="G15">
        <v>19.07</v>
      </c>
      <c r="O15">
        <v>122001</v>
      </c>
      <c r="P15" t="s">
        <v>79</v>
      </c>
    </row>
    <row r="16" spans="1:16">
      <c r="A16" s="1">
        <v>44562</v>
      </c>
      <c r="B16" s="1" t="str">
        <f t="shared" si="0"/>
        <v>Before 5G</v>
      </c>
      <c r="C16">
        <v>492001</v>
      </c>
      <c r="D16" t="str">
        <f t="shared" si="1"/>
        <v>Raipur</v>
      </c>
      <c r="E16">
        <v>17.55</v>
      </c>
      <c r="F16" t="s">
        <v>66</v>
      </c>
      <c r="G16">
        <v>24.35</v>
      </c>
      <c r="O16">
        <v>492001</v>
      </c>
      <c r="P16" t="s">
        <v>80</v>
      </c>
    </row>
    <row r="17" spans="1:7">
      <c r="A17" s="1">
        <v>44593</v>
      </c>
      <c r="B17" s="1" t="str">
        <f t="shared" si="0"/>
        <v>Before 5G</v>
      </c>
      <c r="C17">
        <v>400001</v>
      </c>
      <c r="D17" t="str">
        <f t="shared" si="1"/>
        <v>Mumbai</v>
      </c>
      <c r="E17">
        <v>328.6</v>
      </c>
      <c r="F17" t="s">
        <v>66</v>
      </c>
      <c r="G17">
        <v>18.62</v>
      </c>
    </row>
    <row r="18" spans="1:7">
      <c r="A18" s="1">
        <v>44593</v>
      </c>
      <c r="B18" s="1" t="str">
        <f t="shared" si="0"/>
        <v>Before 5G</v>
      </c>
      <c r="C18">
        <v>110001</v>
      </c>
      <c r="D18" t="str">
        <f t="shared" si="1"/>
        <v>Delhi</v>
      </c>
      <c r="E18">
        <v>277.3</v>
      </c>
      <c r="F18" t="s">
        <v>66</v>
      </c>
      <c r="G18">
        <v>19.54</v>
      </c>
    </row>
    <row r="19" spans="1:7">
      <c r="A19" s="1">
        <v>44593</v>
      </c>
      <c r="B19" s="1" t="str">
        <f t="shared" si="0"/>
        <v>Before 5G</v>
      </c>
      <c r="C19">
        <v>700001</v>
      </c>
      <c r="D19" t="str">
        <f t="shared" si="1"/>
        <v>Kolkata</v>
      </c>
      <c r="E19">
        <v>255.04</v>
      </c>
      <c r="F19" t="s">
        <v>66</v>
      </c>
      <c r="G19">
        <v>15.48</v>
      </c>
    </row>
    <row r="20" spans="1:7">
      <c r="A20" s="1">
        <v>44593</v>
      </c>
      <c r="B20" s="1" t="str">
        <f t="shared" si="0"/>
        <v>Before 5G</v>
      </c>
      <c r="C20">
        <v>560001</v>
      </c>
      <c r="D20" t="str">
        <f t="shared" si="1"/>
        <v>Bangalore</v>
      </c>
      <c r="E20">
        <v>224.3</v>
      </c>
      <c r="F20" t="s">
        <v>66</v>
      </c>
      <c r="G20">
        <v>20.98</v>
      </c>
    </row>
    <row r="21" spans="1:7">
      <c r="A21" s="1">
        <v>44593</v>
      </c>
      <c r="B21" s="1" t="str">
        <f t="shared" si="0"/>
        <v>Before 5G</v>
      </c>
      <c r="C21">
        <v>600001</v>
      </c>
      <c r="D21" t="str">
        <f t="shared" si="1"/>
        <v>Chennai</v>
      </c>
      <c r="E21">
        <v>191.44</v>
      </c>
      <c r="F21" t="s">
        <v>66</v>
      </c>
      <c r="G21">
        <v>29.2</v>
      </c>
    </row>
    <row r="22" spans="1:7">
      <c r="A22" s="1">
        <v>44593</v>
      </c>
      <c r="B22" s="1" t="str">
        <f t="shared" si="0"/>
        <v>Before 5G</v>
      </c>
      <c r="C22">
        <v>500001</v>
      </c>
      <c r="D22" t="str">
        <f t="shared" si="1"/>
        <v>Hyderabad</v>
      </c>
      <c r="E22">
        <v>170.66</v>
      </c>
      <c r="F22" t="s">
        <v>66</v>
      </c>
      <c r="G22">
        <v>20.2</v>
      </c>
    </row>
    <row r="23" spans="1:7">
      <c r="A23" s="1">
        <v>44593</v>
      </c>
      <c r="B23" s="1" t="str">
        <f t="shared" si="0"/>
        <v>Before 5G</v>
      </c>
      <c r="C23">
        <v>411001</v>
      </c>
      <c r="D23" t="str">
        <f t="shared" si="1"/>
        <v>Pune</v>
      </c>
      <c r="E23">
        <v>162.18</v>
      </c>
      <c r="F23" t="s">
        <v>66</v>
      </c>
      <c r="G23">
        <v>17.670000000000002</v>
      </c>
    </row>
    <row r="24" spans="1:7">
      <c r="A24" s="1">
        <v>44593</v>
      </c>
      <c r="B24" s="1" t="str">
        <f t="shared" si="0"/>
        <v>Before 5G</v>
      </c>
      <c r="C24">
        <v>380001</v>
      </c>
      <c r="D24" t="str">
        <f t="shared" si="1"/>
        <v>Ahmedabad</v>
      </c>
      <c r="E24">
        <v>126.35</v>
      </c>
      <c r="F24" t="s">
        <v>66</v>
      </c>
      <c r="G24">
        <v>16.329999999999998</v>
      </c>
    </row>
    <row r="25" spans="1:7">
      <c r="A25" s="1">
        <v>44593</v>
      </c>
      <c r="B25" s="1" t="str">
        <f t="shared" si="0"/>
        <v>Before 5G</v>
      </c>
      <c r="C25">
        <v>302001</v>
      </c>
      <c r="D25" t="str">
        <f t="shared" si="1"/>
        <v>Jaipur</v>
      </c>
      <c r="E25">
        <v>90.74</v>
      </c>
      <c r="F25" t="s">
        <v>66</v>
      </c>
      <c r="G25">
        <v>17.27</v>
      </c>
    </row>
    <row r="26" spans="1:7">
      <c r="A26" s="1">
        <v>44593</v>
      </c>
      <c r="B26" s="1" t="str">
        <f t="shared" si="0"/>
        <v>Before 5G</v>
      </c>
      <c r="C26">
        <v>226001</v>
      </c>
      <c r="D26" t="str">
        <f t="shared" si="1"/>
        <v>Lucknow</v>
      </c>
      <c r="E26">
        <v>77.59</v>
      </c>
      <c r="F26" t="s">
        <v>66</v>
      </c>
      <c r="G26">
        <v>31.93</v>
      </c>
    </row>
    <row r="27" spans="1:7">
      <c r="A27" s="1">
        <v>44593</v>
      </c>
      <c r="B27" s="1" t="str">
        <f t="shared" si="0"/>
        <v>Before 5G</v>
      </c>
      <c r="C27">
        <v>800008</v>
      </c>
      <c r="D27" t="str">
        <f t="shared" si="1"/>
        <v>Patna</v>
      </c>
      <c r="E27">
        <v>64.02</v>
      </c>
      <c r="F27" t="s">
        <v>66</v>
      </c>
      <c r="G27">
        <v>18.3</v>
      </c>
    </row>
    <row r="28" spans="1:7">
      <c r="A28" s="1">
        <v>44593</v>
      </c>
      <c r="B28" s="1" t="str">
        <f t="shared" si="0"/>
        <v>Before 5G</v>
      </c>
      <c r="C28">
        <v>641001</v>
      </c>
      <c r="D28" t="str">
        <f t="shared" si="1"/>
        <v>Coimbatore</v>
      </c>
      <c r="E28">
        <v>57.66</v>
      </c>
      <c r="F28" t="s">
        <v>66</v>
      </c>
      <c r="G28">
        <v>20.71</v>
      </c>
    </row>
    <row r="29" spans="1:7">
      <c r="A29" s="1">
        <v>44593</v>
      </c>
      <c r="B29" s="1" t="str">
        <f t="shared" si="0"/>
        <v>Before 5G</v>
      </c>
      <c r="C29">
        <v>160017</v>
      </c>
      <c r="D29" t="str">
        <f t="shared" si="1"/>
        <v>Chandigarh</v>
      </c>
      <c r="E29">
        <v>41.98</v>
      </c>
      <c r="F29" t="s">
        <v>66</v>
      </c>
      <c r="G29">
        <v>15.11</v>
      </c>
    </row>
    <row r="30" spans="1:7">
      <c r="A30" s="1">
        <v>44593</v>
      </c>
      <c r="B30" s="1" t="str">
        <f t="shared" si="0"/>
        <v>Before 5G</v>
      </c>
      <c r="C30">
        <v>122001</v>
      </c>
      <c r="D30" t="str">
        <f t="shared" si="1"/>
        <v>Gurgaon</v>
      </c>
      <c r="E30">
        <v>32.01</v>
      </c>
      <c r="F30" t="s">
        <v>66</v>
      </c>
      <c r="G30">
        <v>29.52</v>
      </c>
    </row>
    <row r="31" spans="1:7">
      <c r="A31" s="1">
        <v>44593</v>
      </c>
      <c r="B31" s="1" t="str">
        <f t="shared" si="0"/>
        <v>Before 5G</v>
      </c>
      <c r="C31">
        <v>492001</v>
      </c>
      <c r="D31" t="str">
        <f t="shared" si="1"/>
        <v>Raipur</v>
      </c>
      <c r="E31">
        <v>20.14</v>
      </c>
      <c r="F31" t="s">
        <v>66</v>
      </c>
      <c r="G31">
        <v>20.99</v>
      </c>
    </row>
    <row r="32" spans="1:7">
      <c r="A32" s="1">
        <v>44621</v>
      </c>
      <c r="B32" s="1" t="str">
        <f t="shared" si="0"/>
        <v>Before 5G</v>
      </c>
      <c r="C32">
        <v>400001</v>
      </c>
      <c r="D32" t="str">
        <f t="shared" si="1"/>
        <v>Mumbai</v>
      </c>
      <c r="E32">
        <v>305.81</v>
      </c>
      <c r="F32" t="s">
        <v>66</v>
      </c>
      <c r="G32">
        <v>18.73</v>
      </c>
    </row>
    <row r="33" spans="1:7">
      <c r="A33" s="1">
        <v>44621</v>
      </c>
      <c r="B33" s="1" t="str">
        <f t="shared" si="0"/>
        <v>Before 5G</v>
      </c>
      <c r="C33">
        <v>110001</v>
      </c>
      <c r="D33" t="str">
        <f t="shared" si="1"/>
        <v>Delhi</v>
      </c>
      <c r="E33">
        <v>258.07</v>
      </c>
      <c r="F33" t="s">
        <v>66</v>
      </c>
      <c r="G33">
        <v>18.98</v>
      </c>
    </row>
    <row r="34" spans="1:7">
      <c r="A34" s="1">
        <v>44621</v>
      </c>
      <c r="B34" s="1" t="str">
        <f t="shared" si="0"/>
        <v>Before 5G</v>
      </c>
      <c r="C34">
        <v>700001</v>
      </c>
      <c r="D34" t="str">
        <f t="shared" si="1"/>
        <v>Kolkata</v>
      </c>
      <c r="E34">
        <v>237.35</v>
      </c>
      <c r="F34" t="s">
        <v>66</v>
      </c>
      <c r="G34">
        <v>28.36</v>
      </c>
    </row>
    <row r="35" spans="1:7">
      <c r="A35" s="1">
        <v>44621</v>
      </c>
      <c r="B35" s="1" t="str">
        <f t="shared" si="0"/>
        <v>Before 5G</v>
      </c>
      <c r="C35">
        <v>560001</v>
      </c>
      <c r="D35" t="str">
        <f t="shared" si="1"/>
        <v>Bangalore</v>
      </c>
      <c r="E35">
        <v>208.74</v>
      </c>
      <c r="F35" t="s">
        <v>66</v>
      </c>
      <c r="G35">
        <v>20.059999999999999</v>
      </c>
    </row>
    <row r="36" spans="1:7">
      <c r="A36" s="1">
        <v>44621</v>
      </c>
      <c r="B36" s="1" t="str">
        <f t="shared" si="0"/>
        <v>Before 5G</v>
      </c>
      <c r="C36">
        <v>600001</v>
      </c>
      <c r="D36" t="str">
        <f t="shared" si="1"/>
        <v>Chennai</v>
      </c>
      <c r="E36">
        <v>178.16</v>
      </c>
      <c r="F36" t="s">
        <v>66</v>
      </c>
      <c r="G36">
        <v>17.12</v>
      </c>
    </row>
    <row r="37" spans="1:7">
      <c r="A37" s="1">
        <v>44621</v>
      </c>
      <c r="B37" s="1" t="str">
        <f t="shared" si="0"/>
        <v>Before 5G</v>
      </c>
      <c r="C37">
        <v>500001</v>
      </c>
      <c r="D37" t="str">
        <f t="shared" si="1"/>
        <v>Hyderabad</v>
      </c>
      <c r="E37">
        <v>158.83000000000001</v>
      </c>
      <c r="F37" t="s">
        <v>66</v>
      </c>
      <c r="G37">
        <v>17.600000000000001</v>
      </c>
    </row>
    <row r="38" spans="1:7">
      <c r="A38" s="1">
        <v>44621</v>
      </c>
      <c r="B38" s="1" t="str">
        <f t="shared" si="0"/>
        <v>Before 5G</v>
      </c>
      <c r="C38">
        <v>411001</v>
      </c>
      <c r="D38" t="str">
        <f t="shared" si="1"/>
        <v>Pune</v>
      </c>
      <c r="E38">
        <v>150.93</v>
      </c>
      <c r="F38" t="s">
        <v>66</v>
      </c>
      <c r="G38">
        <v>20.43</v>
      </c>
    </row>
    <row r="39" spans="1:7">
      <c r="A39" s="1">
        <v>44621</v>
      </c>
      <c r="B39" s="1" t="str">
        <f t="shared" si="0"/>
        <v>Before 5G</v>
      </c>
      <c r="C39">
        <v>380001</v>
      </c>
      <c r="D39" t="str">
        <f t="shared" si="1"/>
        <v>Ahmedabad</v>
      </c>
      <c r="E39">
        <v>117.59</v>
      </c>
      <c r="F39" t="s">
        <v>66</v>
      </c>
      <c r="G39">
        <v>24.62</v>
      </c>
    </row>
    <row r="40" spans="1:7">
      <c r="A40" s="1">
        <v>44621</v>
      </c>
      <c r="B40" s="1" t="str">
        <f t="shared" si="0"/>
        <v>Before 5G</v>
      </c>
      <c r="C40">
        <v>302001</v>
      </c>
      <c r="D40" t="str">
        <f t="shared" si="1"/>
        <v>Jaipur</v>
      </c>
      <c r="E40">
        <v>84.44</v>
      </c>
      <c r="F40" t="s">
        <v>66</v>
      </c>
      <c r="G40">
        <v>20.25</v>
      </c>
    </row>
    <row r="41" spans="1:7">
      <c r="A41" s="1">
        <v>44621</v>
      </c>
      <c r="B41" s="1" t="str">
        <f t="shared" si="0"/>
        <v>Before 5G</v>
      </c>
      <c r="C41">
        <v>226001</v>
      </c>
      <c r="D41" t="str">
        <f t="shared" si="1"/>
        <v>Lucknow</v>
      </c>
      <c r="E41">
        <v>72.209999999999994</v>
      </c>
      <c r="F41" t="s">
        <v>66</v>
      </c>
      <c r="G41">
        <v>20.68</v>
      </c>
    </row>
    <row r="42" spans="1:7">
      <c r="A42" s="1">
        <v>44621</v>
      </c>
      <c r="B42" s="1" t="str">
        <f t="shared" si="0"/>
        <v>Before 5G</v>
      </c>
      <c r="C42">
        <v>800008</v>
      </c>
      <c r="D42" t="str">
        <f t="shared" si="1"/>
        <v>Patna</v>
      </c>
      <c r="E42">
        <v>59.58</v>
      </c>
      <c r="F42" t="s">
        <v>66</v>
      </c>
      <c r="G42">
        <v>17.829999999999998</v>
      </c>
    </row>
    <row r="43" spans="1:7">
      <c r="A43" s="1">
        <v>44621</v>
      </c>
      <c r="B43" s="1" t="str">
        <f t="shared" si="0"/>
        <v>Before 5G</v>
      </c>
      <c r="C43">
        <v>641001</v>
      </c>
      <c r="D43" t="str">
        <f t="shared" si="1"/>
        <v>Coimbatore</v>
      </c>
      <c r="E43">
        <v>53.67</v>
      </c>
      <c r="F43" t="s">
        <v>66</v>
      </c>
      <c r="G43">
        <v>31.89</v>
      </c>
    </row>
    <row r="44" spans="1:7">
      <c r="A44" s="1">
        <v>44621</v>
      </c>
      <c r="B44" s="1" t="str">
        <f t="shared" si="0"/>
        <v>Before 5G</v>
      </c>
      <c r="C44">
        <v>160017</v>
      </c>
      <c r="D44" t="str">
        <f t="shared" si="1"/>
        <v>Chandigarh</v>
      </c>
      <c r="E44">
        <v>39.07</v>
      </c>
      <c r="F44" t="s">
        <v>66</v>
      </c>
      <c r="G44">
        <v>19.23</v>
      </c>
    </row>
    <row r="45" spans="1:7">
      <c r="A45" s="1">
        <v>44621</v>
      </c>
      <c r="B45" s="1" t="str">
        <f t="shared" si="0"/>
        <v>Before 5G</v>
      </c>
      <c r="C45">
        <v>122001</v>
      </c>
      <c r="D45" t="str">
        <f t="shared" si="1"/>
        <v>Gurgaon</v>
      </c>
      <c r="E45">
        <v>29.79</v>
      </c>
      <c r="F45" t="s">
        <v>66</v>
      </c>
      <c r="G45">
        <v>20.260000000000002</v>
      </c>
    </row>
    <row r="46" spans="1:7">
      <c r="A46" s="1">
        <v>44621</v>
      </c>
      <c r="B46" s="1" t="str">
        <f t="shared" si="0"/>
        <v>Before 5G</v>
      </c>
      <c r="C46">
        <v>492001</v>
      </c>
      <c r="D46" t="str">
        <f t="shared" si="1"/>
        <v>Raipur</v>
      </c>
      <c r="E46">
        <v>18.739999999999998</v>
      </c>
      <c r="F46" t="s">
        <v>66</v>
      </c>
      <c r="G46">
        <v>18.48</v>
      </c>
    </row>
    <row r="47" spans="1:7">
      <c r="A47" s="1">
        <v>44652</v>
      </c>
      <c r="B47" s="1" t="str">
        <f t="shared" si="0"/>
        <v>Before 5G</v>
      </c>
      <c r="C47">
        <v>400001</v>
      </c>
      <c r="D47" t="str">
        <f t="shared" si="1"/>
        <v>Mumbai</v>
      </c>
      <c r="E47">
        <v>324.26</v>
      </c>
      <c r="F47" t="s">
        <v>66</v>
      </c>
      <c r="G47">
        <v>20.12</v>
      </c>
    </row>
    <row r="48" spans="1:7">
      <c r="A48" s="1">
        <v>44652</v>
      </c>
      <c r="B48" s="1" t="str">
        <f t="shared" si="0"/>
        <v>Before 5G</v>
      </c>
      <c r="C48">
        <v>110001</v>
      </c>
      <c r="D48" t="str">
        <f t="shared" si="1"/>
        <v>Delhi</v>
      </c>
      <c r="E48">
        <v>273.63</v>
      </c>
      <c r="F48" t="s">
        <v>66</v>
      </c>
      <c r="G48">
        <v>18.46</v>
      </c>
    </row>
    <row r="49" spans="1:7">
      <c r="A49" s="1">
        <v>44652</v>
      </c>
      <c r="B49" s="1" t="str">
        <f t="shared" si="0"/>
        <v>Before 5G</v>
      </c>
      <c r="C49">
        <v>700001</v>
      </c>
      <c r="D49" t="str">
        <f t="shared" si="1"/>
        <v>Kolkata</v>
      </c>
      <c r="E49">
        <v>251.67</v>
      </c>
      <c r="F49" t="s">
        <v>66</v>
      </c>
      <c r="G49">
        <v>19.41</v>
      </c>
    </row>
    <row r="50" spans="1:7">
      <c r="A50" s="1">
        <v>44652</v>
      </c>
      <c r="B50" s="1" t="str">
        <f t="shared" si="0"/>
        <v>Before 5G</v>
      </c>
      <c r="C50">
        <v>560001</v>
      </c>
      <c r="D50" t="str">
        <f t="shared" si="1"/>
        <v>Bangalore</v>
      </c>
      <c r="E50">
        <v>221.33</v>
      </c>
      <c r="F50" t="s">
        <v>66</v>
      </c>
      <c r="G50">
        <v>19.13</v>
      </c>
    </row>
    <row r="51" spans="1:7">
      <c r="A51" s="1">
        <v>44652</v>
      </c>
      <c r="B51" s="1" t="str">
        <f t="shared" si="0"/>
        <v>Before 5G</v>
      </c>
      <c r="C51">
        <v>600001</v>
      </c>
      <c r="D51" t="str">
        <f t="shared" si="1"/>
        <v>Chennai</v>
      </c>
      <c r="E51">
        <v>188.91</v>
      </c>
      <c r="F51" t="s">
        <v>66</v>
      </c>
      <c r="G51">
        <v>17.43</v>
      </c>
    </row>
    <row r="52" spans="1:7">
      <c r="A52" s="1">
        <v>44652</v>
      </c>
      <c r="B52" s="1" t="str">
        <f t="shared" si="0"/>
        <v>Before 5G</v>
      </c>
      <c r="C52">
        <v>500001</v>
      </c>
      <c r="D52" t="str">
        <f t="shared" si="1"/>
        <v>Hyderabad</v>
      </c>
      <c r="E52">
        <v>168.41</v>
      </c>
      <c r="F52" t="s">
        <v>66</v>
      </c>
      <c r="G52">
        <v>16.600000000000001</v>
      </c>
    </row>
    <row r="53" spans="1:7">
      <c r="A53" s="1">
        <v>44652</v>
      </c>
      <c r="B53" s="1" t="str">
        <f t="shared" si="0"/>
        <v>Before 5G</v>
      </c>
      <c r="C53">
        <v>411001</v>
      </c>
      <c r="D53" t="str">
        <f t="shared" si="1"/>
        <v>Pune</v>
      </c>
      <c r="E53">
        <v>160.04</v>
      </c>
      <c r="F53" t="s">
        <v>66</v>
      </c>
      <c r="G53">
        <v>28.7</v>
      </c>
    </row>
    <row r="54" spans="1:7">
      <c r="A54" s="1">
        <v>44652</v>
      </c>
      <c r="B54" s="1" t="str">
        <f t="shared" si="0"/>
        <v>Before 5G</v>
      </c>
      <c r="C54">
        <v>380001</v>
      </c>
      <c r="D54" t="str">
        <f t="shared" si="1"/>
        <v>Ahmedabad</v>
      </c>
      <c r="E54">
        <v>124.68</v>
      </c>
      <c r="F54" t="s">
        <v>66</v>
      </c>
      <c r="G54">
        <v>19.2</v>
      </c>
    </row>
    <row r="55" spans="1:7">
      <c r="A55" s="1">
        <v>44652</v>
      </c>
      <c r="B55" s="1" t="str">
        <f t="shared" si="0"/>
        <v>Before 5G</v>
      </c>
      <c r="C55">
        <v>302001</v>
      </c>
      <c r="D55" t="str">
        <f t="shared" si="1"/>
        <v>Jaipur</v>
      </c>
      <c r="E55">
        <v>89.54</v>
      </c>
      <c r="F55" t="s">
        <v>66</v>
      </c>
      <c r="G55">
        <v>16.87</v>
      </c>
    </row>
    <row r="56" spans="1:7">
      <c r="A56" s="1">
        <v>44652</v>
      </c>
      <c r="B56" s="1" t="str">
        <f t="shared" si="0"/>
        <v>Before 5G</v>
      </c>
      <c r="C56">
        <v>226001</v>
      </c>
      <c r="D56" t="str">
        <f t="shared" si="1"/>
        <v>Lucknow</v>
      </c>
      <c r="E56">
        <v>76.569999999999993</v>
      </c>
      <c r="F56" t="s">
        <v>66</v>
      </c>
      <c r="G56">
        <v>17.329999999999998</v>
      </c>
    </row>
    <row r="57" spans="1:7">
      <c r="A57" s="1">
        <v>44652</v>
      </c>
      <c r="B57" s="1" t="str">
        <f t="shared" si="0"/>
        <v>Before 5G</v>
      </c>
      <c r="C57">
        <v>800008</v>
      </c>
      <c r="D57" t="str">
        <f t="shared" si="1"/>
        <v>Patna</v>
      </c>
      <c r="E57">
        <v>63.18</v>
      </c>
      <c r="F57" t="s">
        <v>66</v>
      </c>
      <c r="G57">
        <v>18.690000000000001</v>
      </c>
    </row>
    <row r="58" spans="1:7">
      <c r="A58" s="1">
        <v>44652</v>
      </c>
      <c r="B58" s="1" t="str">
        <f t="shared" si="0"/>
        <v>Before 5G</v>
      </c>
      <c r="C58">
        <v>641001</v>
      </c>
      <c r="D58" t="str">
        <f t="shared" si="1"/>
        <v>Coimbatore</v>
      </c>
      <c r="E58">
        <v>56.9</v>
      </c>
      <c r="F58" t="s">
        <v>66</v>
      </c>
      <c r="G58">
        <v>15.45</v>
      </c>
    </row>
    <row r="59" spans="1:7">
      <c r="A59" s="1">
        <v>44652</v>
      </c>
      <c r="B59" s="1" t="str">
        <f t="shared" si="0"/>
        <v>Before 5G</v>
      </c>
      <c r="C59">
        <v>160017</v>
      </c>
      <c r="D59" t="str">
        <f t="shared" si="1"/>
        <v>Chandigarh</v>
      </c>
      <c r="E59">
        <v>41.42</v>
      </c>
      <c r="F59" t="s">
        <v>66</v>
      </c>
      <c r="G59">
        <v>25.31</v>
      </c>
    </row>
    <row r="60" spans="1:7">
      <c r="A60" s="1">
        <v>44652</v>
      </c>
      <c r="B60" s="1" t="str">
        <f t="shared" si="0"/>
        <v>Before 5G</v>
      </c>
      <c r="C60">
        <v>122001</v>
      </c>
      <c r="D60" t="str">
        <f t="shared" si="1"/>
        <v>Gurgaon</v>
      </c>
      <c r="E60">
        <v>31.59</v>
      </c>
      <c r="F60" t="s">
        <v>66</v>
      </c>
      <c r="G60">
        <v>19.989999999999998</v>
      </c>
    </row>
    <row r="61" spans="1:7">
      <c r="A61" s="1">
        <v>44652</v>
      </c>
      <c r="B61" s="1" t="str">
        <f t="shared" si="0"/>
        <v>Before 5G</v>
      </c>
      <c r="C61">
        <v>492001</v>
      </c>
      <c r="D61" t="str">
        <f t="shared" si="1"/>
        <v>Raipur</v>
      </c>
      <c r="E61">
        <v>19.87</v>
      </c>
      <c r="F61" t="s">
        <v>66</v>
      </c>
      <c r="G61">
        <v>18.739999999999998</v>
      </c>
    </row>
    <row r="62" spans="1:7">
      <c r="A62" s="1">
        <v>44713</v>
      </c>
      <c r="B62" s="1" t="str">
        <f t="shared" si="0"/>
        <v>After 5G</v>
      </c>
      <c r="C62">
        <v>400001</v>
      </c>
      <c r="D62" t="str">
        <f t="shared" si="1"/>
        <v>Mumbai</v>
      </c>
      <c r="E62">
        <v>308</v>
      </c>
      <c r="F62" t="s">
        <v>66</v>
      </c>
      <c r="G62">
        <v>20.16</v>
      </c>
    </row>
    <row r="63" spans="1:7">
      <c r="A63" s="1">
        <v>44713</v>
      </c>
      <c r="B63" s="1" t="str">
        <f t="shared" si="0"/>
        <v>After 5G</v>
      </c>
      <c r="C63">
        <v>110001</v>
      </c>
      <c r="D63" t="str">
        <f t="shared" si="1"/>
        <v>Delhi</v>
      </c>
      <c r="E63">
        <v>253.61</v>
      </c>
      <c r="F63" t="s">
        <v>66</v>
      </c>
      <c r="G63">
        <v>16.61</v>
      </c>
    </row>
    <row r="64" spans="1:7">
      <c r="A64" s="1">
        <v>44713</v>
      </c>
      <c r="B64" s="1" t="str">
        <f t="shared" si="0"/>
        <v>After 5G</v>
      </c>
      <c r="C64">
        <v>700001</v>
      </c>
      <c r="D64" t="str">
        <f t="shared" si="1"/>
        <v>Kolkata</v>
      </c>
      <c r="E64">
        <v>235.88</v>
      </c>
      <c r="F64" t="s">
        <v>66</v>
      </c>
      <c r="G64">
        <v>15.59</v>
      </c>
    </row>
    <row r="65" spans="1:7">
      <c r="A65" s="1">
        <v>44713</v>
      </c>
      <c r="B65" s="1" t="str">
        <f t="shared" si="0"/>
        <v>After 5G</v>
      </c>
      <c r="C65">
        <v>560001</v>
      </c>
      <c r="D65" t="str">
        <f t="shared" si="1"/>
        <v>Bangalore</v>
      </c>
      <c r="E65">
        <v>211.24</v>
      </c>
      <c r="F65" t="s">
        <v>66</v>
      </c>
      <c r="G65">
        <v>18</v>
      </c>
    </row>
    <row r="66" spans="1:7">
      <c r="A66" s="1">
        <v>44713</v>
      </c>
      <c r="B66" s="1" t="str">
        <f t="shared" si="0"/>
        <v>After 5G</v>
      </c>
      <c r="C66">
        <v>600001</v>
      </c>
      <c r="D66" t="str">
        <f t="shared" si="1"/>
        <v>Chennai</v>
      </c>
      <c r="E66">
        <v>174.99</v>
      </c>
      <c r="F66" t="s">
        <v>66</v>
      </c>
      <c r="G66">
        <v>17.46</v>
      </c>
    </row>
    <row r="67" spans="1:7">
      <c r="A67" s="1">
        <v>44713</v>
      </c>
      <c r="B67" s="1" t="str">
        <f t="shared" ref="B67:B130" si="2">VLOOKUP(A67,$I$2:$K$9,3,FALSE)</f>
        <v>After 5G</v>
      </c>
      <c r="C67">
        <v>500001</v>
      </c>
      <c r="D67" t="str">
        <f t="shared" ref="D67:D130" si="3">VLOOKUP(C67,$O$2:$P$16,2,FALSE)</f>
        <v>Hyderabad</v>
      </c>
      <c r="E67">
        <v>157.63999999999999</v>
      </c>
      <c r="F67" t="s">
        <v>66</v>
      </c>
      <c r="G67">
        <v>17.82</v>
      </c>
    </row>
    <row r="68" spans="1:7">
      <c r="A68" s="1">
        <v>44713</v>
      </c>
      <c r="B68" s="1" t="str">
        <f t="shared" si="2"/>
        <v>After 5G</v>
      </c>
      <c r="C68">
        <v>411001</v>
      </c>
      <c r="D68" t="str">
        <f t="shared" si="3"/>
        <v>Pune</v>
      </c>
      <c r="E68">
        <v>152.13</v>
      </c>
      <c r="F68" t="s">
        <v>66</v>
      </c>
      <c r="G68">
        <v>16.23</v>
      </c>
    </row>
    <row r="69" spans="1:7">
      <c r="A69" s="1">
        <v>44713</v>
      </c>
      <c r="B69" s="1" t="str">
        <f t="shared" si="2"/>
        <v>After 5G</v>
      </c>
      <c r="C69">
        <v>380001</v>
      </c>
      <c r="D69" t="str">
        <f t="shared" si="3"/>
        <v>Ahmedabad</v>
      </c>
      <c r="E69">
        <v>115.47</v>
      </c>
      <c r="F69" t="s">
        <v>66</v>
      </c>
      <c r="G69">
        <v>18.05</v>
      </c>
    </row>
    <row r="70" spans="1:7">
      <c r="A70" s="1">
        <v>44713</v>
      </c>
      <c r="B70" s="1" t="str">
        <f t="shared" si="2"/>
        <v>After 5G</v>
      </c>
      <c r="C70">
        <v>302001</v>
      </c>
      <c r="D70" t="str">
        <f t="shared" si="3"/>
        <v>Jaipur</v>
      </c>
      <c r="E70">
        <v>85.72</v>
      </c>
      <c r="F70" t="s">
        <v>66</v>
      </c>
      <c r="G70">
        <v>26.66</v>
      </c>
    </row>
    <row r="71" spans="1:7">
      <c r="A71" s="1">
        <v>44713</v>
      </c>
      <c r="B71" s="1" t="str">
        <f t="shared" si="2"/>
        <v>After 5G</v>
      </c>
      <c r="C71">
        <v>226001</v>
      </c>
      <c r="D71" t="str">
        <f t="shared" si="3"/>
        <v>Lucknow</v>
      </c>
      <c r="E71">
        <v>73.7</v>
      </c>
      <c r="F71" t="s">
        <v>66</v>
      </c>
      <c r="G71">
        <v>16.68</v>
      </c>
    </row>
    <row r="72" spans="1:7">
      <c r="A72" s="1">
        <v>44713</v>
      </c>
      <c r="B72" s="1" t="str">
        <f t="shared" si="2"/>
        <v>After 5G</v>
      </c>
      <c r="C72">
        <v>800008</v>
      </c>
      <c r="D72" t="str">
        <f t="shared" si="3"/>
        <v>Patna</v>
      </c>
      <c r="E72">
        <v>60.5</v>
      </c>
      <c r="F72" t="s">
        <v>66</v>
      </c>
      <c r="G72">
        <v>24.91</v>
      </c>
    </row>
    <row r="73" spans="1:7">
      <c r="A73" s="1">
        <v>44713</v>
      </c>
      <c r="B73" s="1" t="str">
        <f t="shared" si="2"/>
        <v>After 5G</v>
      </c>
      <c r="C73">
        <v>641001</v>
      </c>
      <c r="D73" t="str">
        <f t="shared" si="3"/>
        <v>Coimbatore</v>
      </c>
      <c r="E73">
        <v>53.6</v>
      </c>
      <c r="F73" t="s">
        <v>66</v>
      </c>
      <c r="G73">
        <v>14.73</v>
      </c>
    </row>
    <row r="74" spans="1:7">
      <c r="A74" s="1">
        <v>44713</v>
      </c>
      <c r="B74" s="1" t="str">
        <f t="shared" si="2"/>
        <v>After 5G</v>
      </c>
      <c r="C74">
        <v>160017</v>
      </c>
      <c r="D74" t="str">
        <f t="shared" si="3"/>
        <v>Chandigarh</v>
      </c>
      <c r="E74">
        <v>39.020000000000003</v>
      </c>
      <c r="F74" t="s">
        <v>66</v>
      </c>
      <c r="G74">
        <v>16.420000000000002</v>
      </c>
    </row>
    <row r="75" spans="1:7">
      <c r="A75" s="1">
        <v>44713</v>
      </c>
      <c r="B75" s="1" t="str">
        <f t="shared" si="2"/>
        <v>After 5G</v>
      </c>
      <c r="C75">
        <v>122001</v>
      </c>
      <c r="D75" t="str">
        <f t="shared" si="3"/>
        <v>Gurgaon</v>
      </c>
      <c r="E75">
        <v>30.35</v>
      </c>
      <c r="F75" t="s">
        <v>66</v>
      </c>
      <c r="G75">
        <v>18.13</v>
      </c>
    </row>
    <row r="76" spans="1:7">
      <c r="A76" s="1">
        <v>44713</v>
      </c>
      <c r="B76" s="1" t="str">
        <f t="shared" si="2"/>
        <v>After 5G</v>
      </c>
      <c r="C76">
        <v>492001</v>
      </c>
      <c r="D76" t="str">
        <f t="shared" si="3"/>
        <v>Raipur</v>
      </c>
      <c r="E76">
        <v>18.920000000000002</v>
      </c>
      <c r="F76" t="s">
        <v>66</v>
      </c>
      <c r="G76">
        <v>23.1</v>
      </c>
    </row>
    <row r="77" spans="1:7">
      <c r="A77" s="1">
        <v>44743</v>
      </c>
      <c r="B77" s="1" t="str">
        <f t="shared" si="2"/>
        <v>After 5G</v>
      </c>
      <c r="C77">
        <v>400001</v>
      </c>
      <c r="D77" t="str">
        <f t="shared" si="3"/>
        <v>Mumbai</v>
      </c>
      <c r="E77">
        <v>348.85</v>
      </c>
      <c r="F77" t="s">
        <v>66</v>
      </c>
      <c r="G77">
        <v>17.170000000000002</v>
      </c>
    </row>
    <row r="78" spans="1:7">
      <c r="A78" s="1">
        <v>44743</v>
      </c>
      <c r="B78" s="1" t="str">
        <f t="shared" si="2"/>
        <v>After 5G</v>
      </c>
      <c r="C78">
        <v>110001</v>
      </c>
      <c r="D78" t="str">
        <f t="shared" si="3"/>
        <v>Delhi</v>
      </c>
      <c r="E78">
        <v>287.25</v>
      </c>
      <c r="F78" t="s">
        <v>66</v>
      </c>
      <c r="G78">
        <v>17.86</v>
      </c>
    </row>
    <row r="79" spans="1:7">
      <c r="A79" s="1">
        <v>44743</v>
      </c>
      <c r="B79" s="1" t="str">
        <f t="shared" si="2"/>
        <v>After 5G</v>
      </c>
      <c r="C79">
        <v>700001</v>
      </c>
      <c r="D79" t="str">
        <f t="shared" si="3"/>
        <v>Kolkata</v>
      </c>
      <c r="E79">
        <v>267.16000000000003</v>
      </c>
      <c r="F79" t="s">
        <v>66</v>
      </c>
      <c r="G79">
        <v>14.27</v>
      </c>
    </row>
    <row r="80" spans="1:7">
      <c r="A80" s="1">
        <v>44743</v>
      </c>
      <c r="B80" s="1" t="str">
        <f t="shared" si="2"/>
        <v>After 5G</v>
      </c>
      <c r="C80">
        <v>560001</v>
      </c>
      <c r="D80" t="str">
        <f t="shared" si="3"/>
        <v>Bangalore</v>
      </c>
      <c r="E80">
        <v>239.26</v>
      </c>
      <c r="F80" t="s">
        <v>66</v>
      </c>
      <c r="G80">
        <v>19.27</v>
      </c>
    </row>
    <row r="81" spans="1:7">
      <c r="A81" s="1">
        <v>44743</v>
      </c>
      <c r="B81" s="1" t="str">
        <f t="shared" si="2"/>
        <v>After 5G</v>
      </c>
      <c r="C81">
        <v>600001</v>
      </c>
      <c r="D81" t="str">
        <f t="shared" si="3"/>
        <v>Chennai</v>
      </c>
      <c r="E81">
        <v>198.2</v>
      </c>
      <c r="F81" t="s">
        <v>66</v>
      </c>
      <c r="G81">
        <v>27.18</v>
      </c>
    </row>
    <row r="82" spans="1:7">
      <c r="A82" s="1">
        <v>44743</v>
      </c>
      <c r="B82" s="1" t="str">
        <f t="shared" si="2"/>
        <v>After 5G</v>
      </c>
      <c r="C82">
        <v>500001</v>
      </c>
      <c r="D82" t="str">
        <f t="shared" si="3"/>
        <v>Hyderabad</v>
      </c>
      <c r="E82">
        <v>178.56</v>
      </c>
      <c r="F82" t="s">
        <v>66</v>
      </c>
      <c r="G82">
        <v>18.66</v>
      </c>
    </row>
    <row r="83" spans="1:7">
      <c r="A83" s="1">
        <v>44743</v>
      </c>
      <c r="B83" s="1" t="str">
        <f t="shared" si="2"/>
        <v>After 5G</v>
      </c>
      <c r="C83">
        <v>411001</v>
      </c>
      <c r="D83" t="str">
        <f t="shared" si="3"/>
        <v>Pune</v>
      </c>
      <c r="E83">
        <v>172.31</v>
      </c>
      <c r="F83" t="s">
        <v>66</v>
      </c>
      <c r="G83">
        <v>16.239999999999998</v>
      </c>
    </row>
    <row r="84" spans="1:7">
      <c r="A84" s="1">
        <v>44743</v>
      </c>
      <c r="B84" s="1" t="str">
        <f t="shared" si="2"/>
        <v>After 5G</v>
      </c>
      <c r="C84">
        <v>380001</v>
      </c>
      <c r="D84" t="str">
        <f t="shared" si="3"/>
        <v>Ahmedabad</v>
      </c>
      <c r="E84">
        <v>130.79</v>
      </c>
      <c r="F84" t="s">
        <v>66</v>
      </c>
      <c r="G84">
        <v>14.86</v>
      </c>
    </row>
    <row r="85" spans="1:7">
      <c r="A85" s="1">
        <v>44743</v>
      </c>
      <c r="B85" s="1" t="str">
        <f t="shared" si="2"/>
        <v>After 5G</v>
      </c>
      <c r="C85">
        <v>302001</v>
      </c>
      <c r="D85" t="str">
        <f t="shared" si="3"/>
        <v>Jaipur</v>
      </c>
      <c r="E85">
        <v>97.09</v>
      </c>
      <c r="F85" t="s">
        <v>66</v>
      </c>
      <c r="G85">
        <v>15.75</v>
      </c>
    </row>
    <row r="86" spans="1:7">
      <c r="A86" s="1">
        <v>44743</v>
      </c>
      <c r="B86" s="1" t="str">
        <f t="shared" si="2"/>
        <v>After 5G</v>
      </c>
      <c r="C86">
        <v>226001</v>
      </c>
      <c r="D86" t="str">
        <f t="shared" si="3"/>
        <v>Lucknow</v>
      </c>
      <c r="E86">
        <v>83.47</v>
      </c>
      <c r="F86" t="s">
        <v>66</v>
      </c>
      <c r="G86">
        <v>29.67</v>
      </c>
    </row>
    <row r="87" spans="1:7">
      <c r="A87" s="1">
        <v>44743</v>
      </c>
      <c r="B87" s="1" t="str">
        <f t="shared" si="2"/>
        <v>After 5G</v>
      </c>
      <c r="C87">
        <v>800008</v>
      </c>
      <c r="D87" t="str">
        <f t="shared" si="3"/>
        <v>Patna</v>
      </c>
      <c r="E87">
        <v>68.52</v>
      </c>
      <c r="F87" t="s">
        <v>66</v>
      </c>
      <c r="G87">
        <v>16.75</v>
      </c>
    </row>
    <row r="88" spans="1:7">
      <c r="A88" s="1">
        <v>44743</v>
      </c>
      <c r="B88" s="1" t="str">
        <f t="shared" si="2"/>
        <v>After 5G</v>
      </c>
      <c r="C88">
        <v>641001</v>
      </c>
      <c r="D88" t="str">
        <f t="shared" si="3"/>
        <v>Coimbatore</v>
      </c>
      <c r="E88">
        <v>60.71</v>
      </c>
      <c r="F88" t="s">
        <v>66</v>
      </c>
      <c r="G88">
        <v>19</v>
      </c>
    </row>
    <row r="89" spans="1:7">
      <c r="A89" s="1">
        <v>44743</v>
      </c>
      <c r="B89" s="1" t="str">
        <f t="shared" si="2"/>
        <v>After 5G</v>
      </c>
      <c r="C89">
        <v>160017</v>
      </c>
      <c r="D89" t="str">
        <f t="shared" si="3"/>
        <v>Chandigarh</v>
      </c>
      <c r="E89">
        <v>44.19</v>
      </c>
      <c r="F89" t="s">
        <v>66</v>
      </c>
      <c r="G89">
        <v>13.83</v>
      </c>
    </row>
    <row r="90" spans="1:7">
      <c r="A90" s="1">
        <v>44743</v>
      </c>
      <c r="B90" s="1" t="str">
        <f t="shared" si="2"/>
        <v>After 5G</v>
      </c>
      <c r="C90">
        <v>122001</v>
      </c>
      <c r="D90" t="str">
        <f t="shared" si="3"/>
        <v>Gurgaon</v>
      </c>
      <c r="E90">
        <v>34.369999999999997</v>
      </c>
      <c r="F90" t="s">
        <v>66</v>
      </c>
      <c r="G90">
        <v>27.26</v>
      </c>
    </row>
    <row r="91" spans="1:7">
      <c r="A91" s="1">
        <v>44743</v>
      </c>
      <c r="B91" s="1" t="str">
        <f t="shared" si="2"/>
        <v>After 5G</v>
      </c>
      <c r="C91">
        <v>492001</v>
      </c>
      <c r="D91" t="str">
        <f t="shared" si="3"/>
        <v>Raipur</v>
      </c>
      <c r="E91">
        <v>21.43</v>
      </c>
      <c r="F91" t="s">
        <v>66</v>
      </c>
      <c r="G91">
        <v>19.48</v>
      </c>
    </row>
    <row r="92" spans="1:7">
      <c r="A92" s="1">
        <v>44774</v>
      </c>
      <c r="B92" s="1" t="str">
        <f t="shared" si="2"/>
        <v>After 5G</v>
      </c>
      <c r="C92">
        <v>400001</v>
      </c>
      <c r="D92" t="str">
        <f t="shared" si="3"/>
        <v>Mumbai</v>
      </c>
      <c r="E92">
        <v>333.45</v>
      </c>
      <c r="F92" t="s">
        <v>66</v>
      </c>
      <c r="G92">
        <v>17.5</v>
      </c>
    </row>
    <row r="93" spans="1:7">
      <c r="A93" s="1">
        <v>44774</v>
      </c>
      <c r="B93" s="1" t="str">
        <f t="shared" si="2"/>
        <v>After 5G</v>
      </c>
      <c r="C93">
        <v>110001</v>
      </c>
      <c r="D93" t="str">
        <f t="shared" si="3"/>
        <v>Delhi</v>
      </c>
      <c r="E93">
        <v>274.57</v>
      </c>
      <c r="F93" t="s">
        <v>66</v>
      </c>
      <c r="G93">
        <v>17.82</v>
      </c>
    </row>
    <row r="94" spans="1:7">
      <c r="A94" s="1">
        <v>44774</v>
      </c>
      <c r="B94" s="1" t="str">
        <f t="shared" si="2"/>
        <v>After 5G</v>
      </c>
      <c r="C94">
        <v>700001</v>
      </c>
      <c r="D94" t="str">
        <f t="shared" si="3"/>
        <v>Kolkata</v>
      </c>
      <c r="E94">
        <v>255.37</v>
      </c>
      <c r="F94" t="s">
        <v>66</v>
      </c>
      <c r="G94">
        <v>27.02</v>
      </c>
    </row>
    <row r="95" spans="1:7">
      <c r="A95" s="1">
        <v>44774</v>
      </c>
      <c r="B95" s="1" t="str">
        <f t="shared" si="2"/>
        <v>After 5G</v>
      </c>
      <c r="C95">
        <v>560001</v>
      </c>
      <c r="D95" t="str">
        <f t="shared" si="3"/>
        <v>Bangalore</v>
      </c>
      <c r="E95">
        <v>228.7</v>
      </c>
      <c r="F95" t="s">
        <v>66</v>
      </c>
      <c r="G95">
        <v>19.059999999999999</v>
      </c>
    </row>
    <row r="96" spans="1:7">
      <c r="A96" s="1">
        <v>44774</v>
      </c>
      <c r="B96" s="1" t="str">
        <f t="shared" si="2"/>
        <v>After 5G</v>
      </c>
      <c r="C96">
        <v>600001</v>
      </c>
      <c r="D96" t="str">
        <f t="shared" si="3"/>
        <v>Chennai</v>
      </c>
      <c r="E96">
        <v>189.45</v>
      </c>
      <c r="F96" t="s">
        <v>66</v>
      </c>
      <c r="G96">
        <v>15.98</v>
      </c>
    </row>
    <row r="97" spans="1:7">
      <c r="A97" s="1">
        <v>44774</v>
      </c>
      <c r="B97" s="1" t="str">
        <f t="shared" si="2"/>
        <v>After 5G</v>
      </c>
      <c r="C97">
        <v>500001</v>
      </c>
      <c r="D97" t="str">
        <f t="shared" si="3"/>
        <v>Hyderabad</v>
      </c>
      <c r="E97">
        <v>170.67</v>
      </c>
      <c r="F97" t="s">
        <v>66</v>
      </c>
      <c r="G97">
        <v>16.61</v>
      </c>
    </row>
    <row r="98" spans="1:7">
      <c r="A98" s="1">
        <v>44774</v>
      </c>
      <c r="B98" s="1" t="str">
        <f t="shared" si="2"/>
        <v>After 5G</v>
      </c>
      <c r="C98">
        <v>411001</v>
      </c>
      <c r="D98" t="str">
        <f t="shared" si="3"/>
        <v>Pune</v>
      </c>
      <c r="E98">
        <v>164.7</v>
      </c>
      <c r="F98" t="s">
        <v>66</v>
      </c>
      <c r="G98">
        <v>19.22</v>
      </c>
    </row>
    <row r="99" spans="1:7">
      <c r="A99" s="1">
        <v>44774</v>
      </c>
      <c r="B99" s="1" t="str">
        <f t="shared" si="2"/>
        <v>After 5G</v>
      </c>
      <c r="C99">
        <v>380001</v>
      </c>
      <c r="D99" t="str">
        <f t="shared" si="3"/>
        <v>Ahmedabad</v>
      </c>
      <c r="E99">
        <v>125.02</v>
      </c>
      <c r="F99" t="s">
        <v>66</v>
      </c>
      <c r="G99">
        <v>23.38</v>
      </c>
    </row>
    <row r="100" spans="1:7">
      <c r="A100" s="1">
        <v>44774</v>
      </c>
      <c r="B100" s="1" t="str">
        <f t="shared" si="2"/>
        <v>After 5G</v>
      </c>
      <c r="C100">
        <v>302001</v>
      </c>
      <c r="D100" t="str">
        <f t="shared" si="3"/>
        <v>Jaipur</v>
      </c>
      <c r="E100">
        <v>92.8</v>
      </c>
      <c r="F100" t="s">
        <v>66</v>
      </c>
      <c r="G100">
        <v>19.079999999999998</v>
      </c>
    </row>
    <row r="101" spans="1:7">
      <c r="A101" s="1">
        <v>44774</v>
      </c>
      <c r="B101" s="1" t="str">
        <f t="shared" si="2"/>
        <v>After 5G</v>
      </c>
      <c r="C101">
        <v>226001</v>
      </c>
      <c r="D101" t="str">
        <f t="shared" si="3"/>
        <v>Lucknow</v>
      </c>
      <c r="E101">
        <v>79.790000000000006</v>
      </c>
      <c r="F101" t="s">
        <v>66</v>
      </c>
      <c r="G101">
        <v>19.64</v>
      </c>
    </row>
    <row r="102" spans="1:7">
      <c r="A102" s="1">
        <v>44774</v>
      </c>
      <c r="B102" s="1" t="str">
        <f t="shared" si="2"/>
        <v>After 5G</v>
      </c>
      <c r="C102">
        <v>800008</v>
      </c>
      <c r="D102" t="str">
        <f t="shared" si="3"/>
        <v>Patna</v>
      </c>
      <c r="E102">
        <v>65.5</v>
      </c>
      <c r="F102" t="s">
        <v>66</v>
      </c>
      <c r="G102">
        <v>16.87</v>
      </c>
    </row>
    <row r="103" spans="1:7">
      <c r="A103" s="1">
        <v>44774</v>
      </c>
      <c r="B103" s="1" t="str">
        <f t="shared" si="2"/>
        <v>After 5G</v>
      </c>
      <c r="C103">
        <v>641001</v>
      </c>
      <c r="D103" t="str">
        <f t="shared" si="3"/>
        <v>Coimbatore</v>
      </c>
      <c r="E103">
        <v>58.03</v>
      </c>
      <c r="F103" t="s">
        <v>66</v>
      </c>
      <c r="G103">
        <v>30.5</v>
      </c>
    </row>
    <row r="104" spans="1:7">
      <c r="A104" s="1">
        <v>44774</v>
      </c>
      <c r="B104" s="1" t="str">
        <f t="shared" si="2"/>
        <v>After 5G</v>
      </c>
      <c r="C104">
        <v>160017</v>
      </c>
      <c r="D104" t="str">
        <f t="shared" si="3"/>
        <v>Chandigarh</v>
      </c>
      <c r="E104">
        <v>42.24</v>
      </c>
      <c r="F104" t="s">
        <v>66</v>
      </c>
      <c r="G104">
        <v>18.149999999999999</v>
      </c>
    </row>
    <row r="105" spans="1:7">
      <c r="A105" s="1">
        <v>44774</v>
      </c>
      <c r="B105" s="1" t="str">
        <f t="shared" si="2"/>
        <v>After 5G</v>
      </c>
      <c r="C105">
        <v>122001</v>
      </c>
      <c r="D105" t="str">
        <f t="shared" si="3"/>
        <v>Gurgaon</v>
      </c>
      <c r="E105">
        <v>32.85</v>
      </c>
      <c r="F105" t="s">
        <v>66</v>
      </c>
      <c r="G105">
        <v>19.2</v>
      </c>
    </row>
    <row r="106" spans="1:7">
      <c r="A106" s="1">
        <v>44774</v>
      </c>
      <c r="B106" s="1" t="str">
        <f t="shared" si="2"/>
        <v>After 5G</v>
      </c>
      <c r="C106">
        <v>492001</v>
      </c>
      <c r="D106" t="str">
        <f t="shared" si="3"/>
        <v>Raipur</v>
      </c>
      <c r="E106">
        <v>20.48</v>
      </c>
      <c r="F106" t="s">
        <v>66</v>
      </c>
      <c r="G106">
        <v>17.54</v>
      </c>
    </row>
    <row r="107" spans="1:7">
      <c r="A107" s="1">
        <v>44805</v>
      </c>
      <c r="B107" s="1" t="str">
        <f t="shared" si="2"/>
        <v>After 5G</v>
      </c>
      <c r="C107">
        <v>400001</v>
      </c>
      <c r="D107" t="str">
        <f t="shared" si="3"/>
        <v>Mumbai</v>
      </c>
      <c r="E107">
        <v>349.97</v>
      </c>
      <c r="F107" t="s">
        <v>66</v>
      </c>
      <c r="G107">
        <v>18.52</v>
      </c>
    </row>
    <row r="108" spans="1:7">
      <c r="A108" s="1">
        <v>44805</v>
      </c>
      <c r="B108" s="1" t="str">
        <f t="shared" si="2"/>
        <v>After 5G</v>
      </c>
      <c r="C108">
        <v>110001</v>
      </c>
      <c r="D108" t="str">
        <f t="shared" si="3"/>
        <v>Delhi</v>
      </c>
      <c r="E108">
        <v>288.17</v>
      </c>
      <c r="F108" t="s">
        <v>66</v>
      </c>
      <c r="G108">
        <v>16.82</v>
      </c>
    </row>
    <row r="109" spans="1:7">
      <c r="A109" s="1">
        <v>44805</v>
      </c>
      <c r="B109" s="1" t="str">
        <f t="shared" si="2"/>
        <v>After 5G</v>
      </c>
      <c r="C109">
        <v>700001</v>
      </c>
      <c r="D109" t="str">
        <f t="shared" si="3"/>
        <v>Kolkata</v>
      </c>
      <c r="E109">
        <v>268.02</v>
      </c>
      <c r="F109" t="s">
        <v>66</v>
      </c>
      <c r="G109">
        <v>17.89</v>
      </c>
    </row>
    <row r="110" spans="1:7">
      <c r="A110" s="1">
        <v>44805</v>
      </c>
      <c r="B110" s="1" t="str">
        <f t="shared" si="2"/>
        <v>After 5G</v>
      </c>
      <c r="C110">
        <v>560001</v>
      </c>
      <c r="D110" t="str">
        <f t="shared" si="3"/>
        <v>Bangalore</v>
      </c>
      <c r="E110">
        <v>240.03</v>
      </c>
      <c r="F110" t="s">
        <v>66</v>
      </c>
      <c r="G110">
        <v>17.59</v>
      </c>
    </row>
    <row r="111" spans="1:7">
      <c r="A111" s="1">
        <v>44805</v>
      </c>
      <c r="B111" s="1" t="str">
        <f t="shared" si="2"/>
        <v>After 5G</v>
      </c>
      <c r="C111">
        <v>600001</v>
      </c>
      <c r="D111" t="str">
        <f t="shared" si="3"/>
        <v>Chennai</v>
      </c>
      <c r="E111">
        <v>198.83</v>
      </c>
      <c r="F111" t="s">
        <v>66</v>
      </c>
      <c r="G111">
        <v>15.87</v>
      </c>
    </row>
    <row r="112" spans="1:7">
      <c r="A112" s="1">
        <v>44805</v>
      </c>
      <c r="B112" s="1" t="str">
        <f t="shared" si="2"/>
        <v>After 5G</v>
      </c>
      <c r="C112">
        <v>500001</v>
      </c>
      <c r="D112" t="str">
        <f t="shared" si="3"/>
        <v>Hyderabad</v>
      </c>
      <c r="E112">
        <v>179.13</v>
      </c>
      <c r="F112" t="s">
        <v>66</v>
      </c>
      <c r="G112">
        <v>15.26</v>
      </c>
    </row>
    <row r="113" spans="1:7">
      <c r="A113" s="1">
        <v>44805</v>
      </c>
      <c r="B113" s="1" t="str">
        <f t="shared" si="2"/>
        <v>After 5G</v>
      </c>
      <c r="C113">
        <v>411001</v>
      </c>
      <c r="D113" t="str">
        <f t="shared" si="3"/>
        <v>Pune</v>
      </c>
      <c r="E113">
        <v>172.86</v>
      </c>
      <c r="F113" t="s">
        <v>66</v>
      </c>
      <c r="G113">
        <v>26.49</v>
      </c>
    </row>
    <row r="114" spans="1:7">
      <c r="A114" s="1">
        <v>44805</v>
      </c>
      <c r="B114" s="1" t="str">
        <f t="shared" si="2"/>
        <v>After 5G</v>
      </c>
      <c r="C114">
        <v>380001</v>
      </c>
      <c r="D114" t="str">
        <f t="shared" si="3"/>
        <v>Ahmedabad</v>
      </c>
      <c r="E114">
        <v>131.21</v>
      </c>
      <c r="F114" t="s">
        <v>66</v>
      </c>
      <c r="G114">
        <v>17.579999999999998</v>
      </c>
    </row>
    <row r="115" spans="1:7">
      <c r="A115" s="1">
        <v>44805</v>
      </c>
      <c r="B115" s="1" t="str">
        <f t="shared" si="2"/>
        <v>After 5G</v>
      </c>
      <c r="C115">
        <v>302001</v>
      </c>
      <c r="D115" t="str">
        <f t="shared" si="3"/>
        <v>Jaipur</v>
      </c>
      <c r="E115">
        <v>97.4</v>
      </c>
      <c r="F115" t="s">
        <v>66</v>
      </c>
      <c r="G115">
        <v>15.33</v>
      </c>
    </row>
    <row r="116" spans="1:7">
      <c r="A116" s="1">
        <v>44805</v>
      </c>
      <c r="B116" s="1" t="str">
        <f t="shared" si="2"/>
        <v>After 5G</v>
      </c>
      <c r="C116">
        <v>226001</v>
      </c>
      <c r="D116" t="str">
        <f t="shared" si="3"/>
        <v>Lucknow</v>
      </c>
      <c r="E116">
        <v>83.74</v>
      </c>
      <c r="F116" t="s">
        <v>66</v>
      </c>
      <c r="G116">
        <v>15.86</v>
      </c>
    </row>
    <row r="117" spans="1:7">
      <c r="A117" s="1">
        <v>44805</v>
      </c>
      <c r="B117" s="1" t="str">
        <f t="shared" si="2"/>
        <v>After 5G</v>
      </c>
      <c r="C117">
        <v>800008</v>
      </c>
      <c r="D117" t="str">
        <f t="shared" si="3"/>
        <v>Patna</v>
      </c>
      <c r="E117">
        <v>68.739999999999995</v>
      </c>
      <c r="F117" t="s">
        <v>66</v>
      </c>
      <c r="G117">
        <v>17.25</v>
      </c>
    </row>
    <row r="118" spans="1:7">
      <c r="A118" s="1">
        <v>44805</v>
      </c>
      <c r="B118" s="1" t="str">
        <f t="shared" si="2"/>
        <v>After 5G</v>
      </c>
      <c r="C118">
        <v>641001</v>
      </c>
      <c r="D118" t="str">
        <f t="shared" si="3"/>
        <v>Coimbatore</v>
      </c>
      <c r="E118">
        <v>60.9</v>
      </c>
      <c r="F118" t="s">
        <v>66</v>
      </c>
      <c r="G118">
        <v>14.1</v>
      </c>
    </row>
    <row r="119" spans="1:7">
      <c r="A119" s="1">
        <v>44805</v>
      </c>
      <c r="B119" s="1" t="str">
        <f t="shared" si="2"/>
        <v>After 5G</v>
      </c>
      <c r="C119">
        <v>160017</v>
      </c>
      <c r="D119" t="str">
        <f t="shared" si="3"/>
        <v>Chandigarh</v>
      </c>
      <c r="E119">
        <v>44.33</v>
      </c>
      <c r="F119" t="s">
        <v>66</v>
      </c>
      <c r="G119">
        <v>23.29</v>
      </c>
    </row>
    <row r="120" spans="1:7">
      <c r="A120" s="1">
        <v>44805</v>
      </c>
      <c r="B120" s="1" t="str">
        <f t="shared" si="2"/>
        <v>After 5G</v>
      </c>
      <c r="C120">
        <v>122001</v>
      </c>
      <c r="D120" t="str">
        <f t="shared" si="3"/>
        <v>Gurgaon</v>
      </c>
      <c r="E120">
        <v>34.479999999999997</v>
      </c>
      <c r="F120" t="s">
        <v>66</v>
      </c>
      <c r="G120">
        <v>18.420000000000002</v>
      </c>
    </row>
    <row r="121" spans="1:7">
      <c r="A121" s="1">
        <v>44805</v>
      </c>
      <c r="B121" s="1" t="str">
        <f t="shared" si="2"/>
        <v>After 5G</v>
      </c>
      <c r="C121">
        <v>492001</v>
      </c>
      <c r="D121" t="str">
        <f t="shared" si="3"/>
        <v>Raipur</v>
      </c>
      <c r="E121">
        <v>21.5</v>
      </c>
      <c r="F121" t="s">
        <v>66</v>
      </c>
      <c r="G121">
        <v>17.329999999999998</v>
      </c>
    </row>
    <row r="122" spans="1:7">
      <c r="A122" s="1">
        <v>44562</v>
      </c>
      <c r="B122" s="1" t="str">
        <f t="shared" si="2"/>
        <v>Before 5G</v>
      </c>
      <c r="C122">
        <v>400001</v>
      </c>
      <c r="D122" t="str">
        <f t="shared" si="3"/>
        <v>Mumbai</v>
      </c>
      <c r="E122">
        <v>286.29000000000002</v>
      </c>
      <c r="F122" t="s">
        <v>84</v>
      </c>
      <c r="G122">
        <v>25.45</v>
      </c>
    </row>
    <row r="123" spans="1:7">
      <c r="A123" s="1">
        <v>44562</v>
      </c>
      <c r="B123" s="1" t="str">
        <f t="shared" si="2"/>
        <v>Before 5G</v>
      </c>
      <c r="C123">
        <v>110001</v>
      </c>
      <c r="D123" t="str">
        <f t="shared" si="3"/>
        <v>Delhi</v>
      </c>
      <c r="E123">
        <v>241.59</v>
      </c>
      <c r="F123" t="s">
        <v>84</v>
      </c>
      <c r="G123">
        <v>29.34</v>
      </c>
    </row>
    <row r="124" spans="1:7">
      <c r="A124" s="1">
        <v>44562</v>
      </c>
      <c r="B124" s="1" t="str">
        <f t="shared" si="2"/>
        <v>Before 5G</v>
      </c>
      <c r="C124">
        <v>700001</v>
      </c>
      <c r="D124" t="str">
        <f t="shared" si="3"/>
        <v>Kolkata</v>
      </c>
      <c r="E124">
        <v>222.19</v>
      </c>
      <c r="F124" t="s">
        <v>84</v>
      </c>
      <c r="G124">
        <v>27.85</v>
      </c>
    </row>
    <row r="125" spans="1:7">
      <c r="A125" s="1">
        <v>44562</v>
      </c>
      <c r="B125" s="1" t="str">
        <f t="shared" si="2"/>
        <v>Before 5G</v>
      </c>
      <c r="C125">
        <v>560001</v>
      </c>
      <c r="D125" t="str">
        <f t="shared" si="3"/>
        <v>Bangalore</v>
      </c>
      <c r="E125">
        <v>195.41</v>
      </c>
      <c r="F125" t="s">
        <v>84</v>
      </c>
      <c r="G125">
        <v>33.97</v>
      </c>
    </row>
    <row r="126" spans="1:7">
      <c r="A126" s="1">
        <v>44562</v>
      </c>
      <c r="B126" s="1" t="str">
        <f t="shared" si="2"/>
        <v>Before 5G</v>
      </c>
      <c r="C126">
        <v>600001</v>
      </c>
      <c r="D126" t="str">
        <f t="shared" si="3"/>
        <v>Chennai</v>
      </c>
      <c r="E126">
        <v>166.78</v>
      </c>
      <c r="F126" t="s">
        <v>84</v>
      </c>
      <c r="G126">
        <v>31.44</v>
      </c>
    </row>
    <row r="127" spans="1:7">
      <c r="A127" s="1">
        <v>44562</v>
      </c>
      <c r="B127" s="1" t="str">
        <f t="shared" si="2"/>
        <v>Before 5G</v>
      </c>
      <c r="C127">
        <v>500001</v>
      </c>
      <c r="D127" t="str">
        <f t="shared" si="3"/>
        <v>Hyderabad</v>
      </c>
      <c r="E127">
        <v>148.68</v>
      </c>
      <c r="F127" t="s">
        <v>84</v>
      </c>
      <c r="G127">
        <v>30.93</v>
      </c>
    </row>
    <row r="128" spans="1:7">
      <c r="A128" s="1">
        <v>44562</v>
      </c>
      <c r="B128" s="1" t="str">
        <f t="shared" si="2"/>
        <v>Before 5G</v>
      </c>
      <c r="C128">
        <v>411001</v>
      </c>
      <c r="D128" t="str">
        <f t="shared" si="3"/>
        <v>Pune</v>
      </c>
      <c r="E128">
        <v>141.30000000000001</v>
      </c>
      <c r="F128" t="s">
        <v>84</v>
      </c>
      <c r="G128">
        <v>34.31</v>
      </c>
    </row>
    <row r="129" spans="1:7">
      <c r="A129" s="1">
        <v>44562</v>
      </c>
      <c r="B129" s="1" t="str">
        <f t="shared" si="2"/>
        <v>Before 5G</v>
      </c>
      <c r="C129">
        <v>380001</v>
      </c>
      <c r="D129" t="str">
        <f t="shared" si="3"/>
        <v>Ahmedabad</v>
      </c>
      <c r="E129">
        <v>110.08</v>
      </c>
      <c r="F129" t="s">
        <v>84</v>
      </c>
      <c r="G129">
        <v>30.45</v>
      </c>
    </row>
    <row r="130" spans="1:7">
      <c r="A130" s="1">
        <v>44562</v>
      </c>
      <c r="B130" s="1" t="str">
        <f t="shared" si="2"/>
        <v>Before 5G</v>
      </c>
      <c r="C130">
        <v>302001</v>
      </c>
      <c r="D130" t="str">
        <f t="shared" si="3"/>
        <v>Jaipur</v>
      </c>
      <c r="E130">
        <v>79.05</v>
      </c>
      <c r="F130" t="s">
        <v>84</v>
      </c>
      <c r="G130">
        <v>18.47</v>
      </c>
    </row>
    <row r="131" spans="1:7">
      <c r="A131" s="1">
        <v>44562</v>
      </c>
      <c r="B131" s="1" t="str">
        <f t="shared" ref="B131:B194" si="4">VLOOKUP(A131,$I$2:$K$9,3,FALSE)</f>
        <v>Before 5G</v>
      </c>
      <c r="C131">
        <v>226001</v>
      </c>
      <c r="D131" t="str">
        <f t="shared" ref="D131:D194" si="5">VLOOKUP(C131,$O$2:$P$16,2,FALSE)</f>
        <v>Lucknow</v>
      </c>
      <c r="E131">
        <v>67.599999999999994</v>
      </c>
      <c r="F131" t="s">
        <v>84</v>
      </c>
      <c r="G131">
        <v>32.71</v>
      </c>
    </row>
    <row r="132" spans="1:7">
      <c r="A132" s="1">
        <v>44562</v>
      </c>
      <c r="B132" s="1" t="str">
        <f t="shared" si="4"/>
        <v>Before 5G</v>
      </c>
      <c r="C132">
        <v>800008</v>
      </c>
      <c r="D132" t="str">
        <f t="shared" si="5"/>
        <v>Patna</v>
      </c>
      <c r="E132">
        <v>55.78</v>
      </c>
      <c r="F132" t="s">
        <v>84</v>
      </c>
      <c r="G132">
        <v>20.170000000000002</v>
      </c>
    </row>
    <row r="133" spans="1:7">
      <c r="A133" s="1">
        <v>44562</v>
      </c>
      <c r="B133" s="1" t="str">
        <f t="shared" si="4"/>
        <v>Before 5G</v>
      </c>
      <c r="C133">
        <v>641001</v>
      </c>
      <c r="D133" t="str">
        <f t="shared" si="5"/>
        <v>Coimbatore</v>
      </c>
      <c r="E133">
        <v>50.24</v>
      </c>
      <c r="F133" t="s">
        <v>84</v>
      </c>
      <c r="G133">
        <v>30.53</v>
      </c>
    </row>
    <row r="134" spans="1:7">
      <c r="A134" s="1">
        <v>44562</v>
      </c>
      <c r="B134" s="1" t="str">
        <f t="shared" si="4"/>
        <v>Before 5G</v>
      </c>
      <c r="C134">
        <v>160017</v>
      </c>
      <c r="D134" t="str">
        <f t="shared" si="5"/>
        <v>Chandigarh</v>
      </c>
      <c r="E134">
        <v>36.57</v>
      </c>
      <c r="F134" t="s">
        <v>84</v>
      </c>
      <c r="G134">
        <v>32.97</v>
      </c>
    </row>
    <row r="135" spans="1:7">
      <c r="A135" s="1">
        <v>44562</v>
      </c>
      <c r="B135" s="1" t="str">
        <f t="shared" si="4"/>
        <v>Before 5G</v>
      </c>
      <c r="C135">
        <v>122001</v>
      </c>
      <c r="D135" t="str">
        <f t="shared" si="5"/>
        <v>Gurgaon</v>
      </c>
      <c r="E135">
        <v>27.89</v>
      </c>
      <c r="F135" t="s">
        <v>84</v>
      </c>
      <c r="G135">
        <v>27.41</v>
      </c>
    </row>
    <row r="136" spans="1:7">
      <c r="A136" s="1">
        <v>44562</v>
      </c>
      <c r="B136" s="1" t="str">
        <f t="shared" si="4"/>
        <v>Before 5G</v>
      </c>
      <c r="C136">
        <v>492001</v>
      </c>
      <c r="D136" t="str">
        <f t="shared" si="5"/>
        <v>Raipur</v>
      </c>
      <c r="E136">
        <v>17.55</v>
      </c>
      <c r="F136" t="s">
        <v>84</v>
      </c>
      <c r="G136">
        <v>20.309999999999999</v>
      </c>
    </row>
    <row r="137" spans="1:7">
      <c r="A137" s="1">
        <v>44593</v>
      </c>
      <c r="B137" s="1" t="str">
        <f t="shared" si="4"/>
        <v>Before 5G</v>
      </c>
      <c r="C137">
        <v>400001</v>
      </c>
      <c r="D137" t="str">
        <f t="shared" si="5"/>
        <v>Mumbai</v>
      </c>
      <c r="E137">
        <v>328.6</v>
      </c>
      <c r="F137" t="s">
        <v>84</v>
      </c>
      <c r="G137">
        <v>27.42</v>
      </c>
    </row>
    <row r="138" spans="1:7">
      <c r="A138" s="1">
        <v>44593</v>
      </c>
      <c r="B138" s="1" t="str">
        <f t="shared" si="4"/>
        <v>Before 5G</v>
      </c>
      <c r="C138">
        <v>110001</v>
      </c>
      <c r="D138" t="str">
        <f t="shared" si="5"/>
        <v>Delhi</v>
      </c>
      <c r="E138">
        <v>277.3</v>
      </c>
      <c r="F138" t="s">
        <v>84</v>
      </c>
      <c r="G138">
        <v>30.36</v>
      </c>
    </row>
    <row r="139" spans="1:7">
      <c r="A139" s="1">
        <v>44593</v>
      </c>
      <c r="B139" s="1" t="str">
        <f t="shared" si="4"/>
        <v>Before 5G</v>
      </c>
      <c r="C139">
        <v>700001</v>
      </c>
      <c r="D139" t="str">
        <f t="shared" si="5"/>
        <v>Kolkata</v>
      </c>
      <c r="E139">
        <v>255.04</v>
      </c>
      <c r="F139" t="s">
        <v>84</v>
      </c>
      <c r="G139">
        <v>31.02</v>
      </c>
    </row>
    <row r="140" spans="1:7">
      <c r="A140" s="1">
        <v>44593</v>
      </c>
      <c r="B140" s="1" t="str">
        <f t="shared" si="4"/>
        <v>Before 5G</v>
      </c>
      <c r="C140">
        <v>560001</v>
      </c>
      <c r="D140" t="str">
        <f t="shared" si="5"/>
        <v>Bangalore</v>
      </c>
      <c r="E140">
        <v>224.3</v>
      </c>
      <c r="F140" t="s">
        <v>84</v>
      </c>
      <c r="G140">
        <v>30.34</v>
      </c>
    </row>
    <row r="141" spans="1:7">
      <c r="A141" s="1">
        <v>44593</v>
      </c>
      <c r="B141" s="1" t="str">
        <f t="shared" si="4"/>
        <v>Before 5G</v>
      </c>
      <c r="C141">
        <v>600001</v>
      </c>
      <c r="D141" t="str">
        <f t="shared" si="5"/>
        <v>Chennai</v>
      </c>
      <c r="E141">
        <v>191.44</v>
      </c>
      <c r="F141" t="s">
        <v>84</v>
      </c>
      <c r="G141">
        <v>21.66</v>
      </c>
    </row>
    <row r="142" spans="1:7">
      <c r="A142" s="1">
        <v>44593</v>
      </c>
      <c r="B142" s="1" t="str">
        <f t="shared" si="4"/>
        <v>Before 5G</v>
      </c>
      <c r="C142">
        <v>500001</v>
      </c>
      <c r="D142" t="str">
        <f t="shared" si="5"/>
        <v>Hyderabad</v>
      </c>
      <c r="E142">
        <v>170.66</v>
      </c>
      <c r="F142" t="s">
        <v>84</v>
      </c>
      <c r="G142">
        <v>23.47</v>
      </c>
    </row>
    <row r="143" spans="1:7">
      <c r="A143" s="1">
        <v>44593</v>
      </c>
      <c r="B143" s="1" t="str">
        <f t="shared" si="4"/>
        <v>Before 5G</v>
      </c>
      <c r="C143">
        <v>411001</v>
      </c>
      <c r="D143" t="str">
        <f t="shared" si="5"/>
        <v>Pune</v>
      </c>
      <c r="E143">
        <v>162.18</v>
      </c>
      <c r="F143" t="s">
        <v>84</v>
      </c>
      <c r="G143">
        <v>32.57</v>
      </c>
    </row>
    <row r="144" spans="1:7">
      <c r="A144" s="1">
        <v>44593</v>
      </c>
      <c r="B144" s="1" t="str">
        <f t="shared" si="4"/>
        <v>Before 5G</v>
      </c>
      <c r="C144">
        <v>380001</v>
      </c>
      <c r="D144" t="str">
        <f t="shared" si="5"/>
        <v>Ahmedabad</v>
      </c>
      <c r="E144">
        <v>126.35</v>
      </c>
      <c r="F144" t="s">
        <v>84</v>
      </c>
      <c r="G144">
        <v>27.25</v>
      </c>
    </row>
    <row r="145" spans="1:7">
      <c r="A145" s="1">
        <v>44593</v>
      </c>
      <c r="B145" s="1" t="str">
        <f t="shared" si="4"/>
        <v>Before 5G</v>
      </c>
      <c r="C145">
        <v>302001</v>
      </c>
      <c r="D145" t="str">
        <f t="shared" si="5"/>
        <v>Jaipur</v>
      </c>
      <c r="E145">
        <v>90.74</v>
      </c>
      <c r="F145" t="s">
        <v>84</v>
      </c>
      <c r="G145">
        <v>31.9</v>
      </c>
    </row>
    <row r="146" spans="1:7">
      <c r="A146" s="1">
        <v>44593</v>
      </c>
      <c r="B146" s="1" t="str">
        <f t="shared" si="4"/>
        <v>Before 5G</v>
      </c>
      <c r="C146">
        <v>226001</v>
      </c>
      <c r="D146" t="str">
        <f t="shared" si="5"/>
        <v>Lucknow</v>
      </c>
      <c r="E146">
        <v>77.59</v>
      </c>
      <c r="F146" t="s">
        <v>84</v>
      </c>
      <c r="G146">
        <v>17.329999999999998</v>
      </c>
    </row>
    <row r="147" spans="1:7">
      <c r="A147" s="1">
        <v>44593</v>
      </c>
      <c r="B147" s="1" t="str">
        <f t="shared" si="4"/>
        <v>Before 5G</v>
      </c>
      <c r="C147">
        <v>800008</v>
      </c>
      <c r="D147" t="str">
        <f t="shared" si="5"/>
        <v>Patna</v>
      </c>
      <c r="E147">
        <v>64.02</v>
      </c>
      <c r="F147" t="s">
        <v>84</v>
      </c>
      <c r="G147">
        <v>31.64</v>
      </c>
    </row>
    <row r="148" spans="1:7">
      <c r="A148" s="1">
        <v>44593</v>
      </c>
      <c r="B148" s="1" t="str">
        <f t="shared" si="4"/>
        <v>Before 5G</v>
      </c>
      <c r="C148">
        <v>641001</v>
      </c>
      <c r="D148" t="str">
        <f t="shared" si="5"/>
        <v>Coimbatore</v>
      </c>
      <c r="E148">
        <v>57.66</v>
      </c>
      <c r="F148" t="s">
        <v>84</v>
      </c>
      <c r="G148">
        <v>29.09</v>
      </c>
    </row>
    <row r="149" spans="1:7">
      <c r="A149" s="1">
        <v>44593</v>
      </c>
      <c r="B149" s="1" t="str">
        <f t="shared" si="4"/>
        <v>Before 5G</v>
      </c>
      <c r="C149">
        <v>160017</v>
      </c>
      <c r="D149" t="str">
        <f t="shared" si="5"/>
        <v>Chandigarh</v>
      </c>
      <c r="E149">
        <v>41.98</v>
      </c>
      <c r="F149" t="s">
        <v>84</v>
      </c>
      <c r="G149">
        <v>29.39</v>
      </c>
    </row>
    <row r="150" spans="1:7">
      <c r="A150" s="1">
        <v>44593</v>
      </c>
      <c r="B150" s="1" t="str">
        <f t="shared" si="4"/>
        <v>Before 5G</v>
      </c>
      <c r="C150">
        <v>122001</v>
      </c>
      <c r="D150" t="str">
        <f t="shared" si="5"/>
        <v>Gurgaon</v>
      </c>
      <c r="E150">
        <v>32.01</v>
      </c>
      <c r="F150" t="s">
        <v>84</v>
      </c>
      <c r="G150">
        <v>19.87</v>
      </c>
    </row>
    <row r="151" spans="1:7">
      <c r="A151" s="1">
        <v>44593</v>
      </c>
      <c r="B151" s="1" t="str">
        <f t="shared" si="4"/>
        <v>Before 5G</v>
      </c>
      <c r="C151">
        <v>492001</v>
      </c>
      <c r="D151" t="str">
        <f t="shared" si="5"/>
        <v>Raipur</v>
      </c>
      <c r="E151">
        <v>20.14</v>
      </c>
      <c r="F151" t="s">
        <v>84</v>
      </c>
      <c r="G151">
        <v>26.89</v>
      </c>
    </row>
    <row r="152" spans="1:7">
      <c r="A152" s="1">
        <v>44621</v>
      </c>
      <c r="B152" s="1" t="str">
        <f t="shared" si="4"/>
        <v>Before 5G</v>
      </c>
      <c r="C152">
        <v>400001</v>
      </c>
      <c r="D152" t="str">
        <f t="shared" si="5"/>
        <v>Mumbai</v>
      </c>
      <c r="E152">
        <v>305.81</v>
      </c>
      <c r="F152" t="s">
        <v>84</v>
      </c>
      <c r="G152">
        <v>32.14</v>
      </c>
    </row>
    <row r="153" spans="1:7">
      <c r="A153" s="1">
        <v>44621</v>
      </c>
      <c r="B153" s="1" t="str">
        <f t="shared" si="4"/>
        <v>Before 5G</v>
      </c>
      <c r="C153">
        <v>110001</v>
      </c>
      <c r="D153" t="str">
        <f t="shared" si="5"/>
        <v>Delhi</v>
      </c>
      <c r="E153">
        <v>258.07</v>
      </c>
      <c r="F153" t="s">
        <v>84</v>
      </c>
      <c r="G153">
        <v>31.97</v>
      </c>
    </row>
    <row r="154" spans="1:7">
      <c r="A154" s="1">
        <v>44621</v>
      </c>
      <c r="B154" s="1" t="str">
        <f t="shared" si="4"/>
        <v>Before 5G</v>
      </c>
      <c r="C154">
        <v>700001</v>
      </c>
      <c r="D154" t="str">
        <f t="shared" si="5"/>
        <v>Kolkata</v>
      </c>
      <c r="E154">
        <v>237.35</v>
      </c>
      <c r="F154" t="s">
        <v>84</v>
      </c>
      <c r="G154">
        <v>19.64</v>
      </c>
    </row>
    <row r="155" spans="1:7">
      <c r="A155" s="1">
        <v>44621</v>
      </c>
      <c r="B155" s="1" t="str">
        <f t="shared" si="4"/>
        <v>Before 5G</v>
      </c>
      <c r="C155">
        <v>560001</v>
      </c>
      <c r="D155" t="str">
        <f t="shared" si="5"/>
        <v>Bangalore</v>
      </c>
      <c r="E155">
        <v>208.74</v>
      </c>
      <c r="F155" t="s">
        <v>84</v>
      </c>
      <c r="G155">
        <v>28.13</v>
      </c>
    </row>
    <row r="156" spans="1:7">
      <c r="A156" s="1">
        <v>44621</v>
      </c>
      <c r="B156" s="1" t="str">
        <f t="shared" si="4"/>
        <v>Before 5G</v>
      </c>
      <c r="C156">
        <v>600001</v>
      </c>
      <c r="D156" t="str">
        <f t="shared" si="5"/>
        <v>Chennai</v>
      </c>
      <c r="E156">
        <v>178.16</v>
      </c>
      <c r="F156" t="s">
        <v>84</v>
      </c>
      <c r="G156">
        <v>24.17</v>
      </c>
    </row>
    <row r="157" spans="1:7">
      <c r="A157" s="1">
        <v>44621</v>
      </c>
      <c r="B157" s="1" t="str">
        <f t="shared" si="4"/>
        <v>Before 5G</v>
      </c>
      <c r="C157">
        <v>500001</v>
      </c>
      <c r="D157" t="str">
        <f t="shared" si="5"/>
        <v>Hyderabad</v>
      </c>
      <c r="E157">
        <v>158.83000000000001</v>
      </c>
      <c r="F157" t="s">
        <v>84</v>
      </c>
      <c r="G157">
        <v>31.95</v>
      </c>
    </row>
    <row r="158" spans="1:7">
      <c r="A158" s="1">
        <v>44621</v>
      </c>
      <c r="B158" s="1" t="str">
        <f t="shared" si="4"/>
        <v>Before 5G</v>
      </c>
      <c r="C158">
        <v>411001</v>
      </c>
      <c r="D158" t="str">
        <f t="shared" si="5"/>
        <v>Pune</v>
      </c>
      <c r="E158">
        <v>150.93</v>
      </c>
      <c r="F158" t="s">
        <v>84</v>
      </c>
      <c r="G158">
        <v>28.19</v>
      </c>
    </row>
    <row r="159" spans="1:7">
      <c r="A159" s="1">
        <v>44621</v>
      </c>
      <c r="B159" s="1" t="str">
        <f t="shared" si="4"/>
        <v>Before 5G</v>
      </c>
      <c r="C159">
        <v>380001</v>
      </c>
      <c r="D159" t="str">
        <f t="shared" si="5"/>
        <v>Ahmedabad</v>
      </c>
      <c r="E159">
        <v>117.59</v>
      </c>
      <c r="F159" t="s">
        <v>84</v>
      </c>
      <c r="G159">
        <v>20.420000000000002</v>
      </c>
    </row>
    <row r="160" spans="1:7">
      <c r="A160" s="1">
        <v>44621</v>
      </c>
      <c r="B160" s="1" t="str">
        <f t="shared" si="4"/>
        <v>Before 5G</v>
      </c>
      <c r="C160">
        <v>302001</v>
      </c>
      <c r="D160" t="str">
        <f t="shared" si="5"/>
        <v>Jaipur</v>
      </c>
      <c r="E160">
        <v>84.44</v>
      </c>
      <c r="F160" t="s">
        <v>84</v>
      </c>
      <c r="G160">
        <v>26.67</v>
      </c>
    </row>
    <row r="161" spans="1:7">
      <c r="A161" s="1">
        <v>44621</v>
      </c>
      <c r="B161" s="1" t="str">
        <f t="shared" si="4"/>
        <v>Before 5G</v>
      </c>
      <c r="C161">
        <v>226001</v>
      </c>
      <c r="D161" t="str">
        <f t="shared" si="5"/>
        <v>Lucknow</v>
      </c>
      <c r="E161">
        <v>72.209999999999994</v>
      </c>
      <c r="F161" t="s">
        <v>84</v>
      </c>
      <c r="G161">
        <v>24.99</v>
      </c>
    </row>
    <row r="162" spans="1:7">
      <c r="A162" s="1">
        <v>44621</v>
      </c>
      <c r="B162" s="1" t="str">
        <f t="shared" si="4"/>
        <v>Before 5G</v>
      </c>
      <c r="C162">
        <v>800008</v>
      </c>
      <c r="D162" t="str">
        <f t="shared" si="5"/>
        <v>Patna</v>
      </c>
      <c r="E162">
        <v>59.58</v>
      </c>
      <c r="F162" t="s">
        <v>84</v>
      </c>
      <c r="G162">
        <v>25.96</v>
      </c>
    </row>
    <row r="163" spans="1:7">
      <c r="A163" s="1">
        <v>44621</v>
      </c>
      <c r="B163" s="1" t="str">
        <f t="shared" si="4"/>
        <v>Before 5G</v>
      </c>
      <c r="C163">
        <v>641001</v>
      </c>
      <c r="D163" t="str">
        <f t="shared" si="5"/>
        <v>Coimbatore</v>
      </c>
      <c r="E163">
        <v>53.67</v>
      </c>
      <c r="F163" t="s">
        <v>84</v>
      </c>
      <c r="G163">
        <v>18.309999999999999</v>
      </c>
    </row>
    <row r="164" spans="1:7">
      <c r="A164" s="1">
        <v>44621</v>
      </c>
      <c r="B164" s="1" t="str">
        <f t="shared" si="4"/>
        <v>Before 5G</v>
      </c>
      <c r="C164">
        <v>160017</v>
      </c>
      <c r="D164" t="str">
        <f t="shared" si="5"/>
        <v>Chandigarh</v>
      </c>
      <c r="E164">
        <v>39.07</v>
      </c>
      <c r="F164" t="s">
        <v>84</v>
      </c>
      <c r="G164">
        <v>26</v>
      </c>
    </row>
    <row r="165" spans="1:7">
      <c r="A165" s="1">
        <v>44621</v>
      </c>
      <c r="B165" s="1" t="str">
        <f t="shared" si="4"/>
        <v>Before 5G</v>
      </c>
      <c r="C165">
        <v>122001</v>
      </c>
      <c r="D165" t="str">
        <f t="shared" si="5"/>
        <v>Gurgaon</v>
      </c>
      <c r="E165">
        <v>29.79</v>
      </c>
      <c r="F165" t="s">
        <v>84</v>
      </c>
      <c r="G165">
        <v>31</v>
      </c>
    </row>
    <row r="166" spans="1:7">
      <c r="A166" s="1">
        <v>44621</v>
      </c>
      <c r="B166" s="1" t="str">
        <f t="shared" si="4"/>
        <v>Before 5G</v>
      </c>
      <c r="C166">
        <v>492001</v>
      </c>
      <c r="D166" t="str">
        <f t="shared" si="5"/>
        <v>Raipur</v>
      </c>
      <c r="E166">
        <v>18.739999999999998</v>
      </c>
      <c r="F166" t="s">
        <v>84</v>
      </c>
      <c r="G166">
        <v>25.32</v>
      </c>
    </row>
    <row r="167" spans="1:7">
      <c r="A167" s="1">
        <v>44652</v>
      </c>
      <c r="B167" s="1" t="str">
        <f t="shared" si="4"/>
        <v>Before 5G</v>
      </c>
      <c r="C167">
        <v>400001</v>
      </c>
      <c r="D167" t="str">
        <f t="shared" si="5"/>
        <v>Mumbai</v>
      </c>
      <c r="E167">
        <v>324.26</v>
      </c>
      <c r="F167" t="s">
        <v>84</v>
      </c>
      <c r="G167">
        <v>28.26</v>
      </c>
    </row>
    <row r="168" spans="1:7">
      <c r="A168" s="1">
        <v>44652</v>
      </c>
      <c r="B168" s="1" t="str">
        <f t="shared" si="4"/>
        <v>Before 5G</v>
      </c>
      <c r="C168">
        <v>110001</v>
      </c>
      <c r="D168" t="str">
        <f t="shared" si="5"/>
        <v>Delhi</v>
      </c>
      <c r="E168">
        <v>273.63</v>
      </c>
      <c r="F168" t="s">
        <v>84</v>
      </c>
      <c r="G168">
        <v>30.41</v>
      </c>
    </row>
    <row r="169" spans="1:7">
      <c r="A169" s="1">
        <v>44652</v>
      </c>
      <c r="B169" s="1" t="str">
        <f t="shared" si="4"/>
        <v>Before 5G</v>
      </c>
      <c r="C169">
        <v>700001</v>
      </c>
      <c r="D169" t="str">
        <f t="shared" si="5"/>
        <v>Kolkata</v>
      </c>
      <c r="E169">
        <v>251.67</v>
      </c>
      <c r="F169" t="s">
        <v>84</v>
      </c>
      <c r="G169">
        <v>27</v>
      </c>
    </row>
    <row r="170" spans="1:7">
      <c r="A170" s="1">
        <v>44652</v>
      </c>
      <c r="B170" s="1" t="str">
        <f t="shared" si="4"/>
        <v>Before 5G</v>
      </c>
      <c r="C170">
        <v>560001</v>
      </c>
      <c r="D170" t="str">
        <f t="shared" si="5"/>
        <v>Bangalore</v>
      </c>
      <c r="E170">
        <v>221.33</v>
      </c>
      <c r="F170" t="s">
        <v>84</v>
      </c>
      <c r="G170">
        <v>26.36</v>
      </c>
    </row>
    <row r="171" spans="1:7">
      <c r="A171" s="1">
        <v>44652</v>
      </c>
      <c r="B171" s="1" t="str">
        <f t="shared" si="4"/>
        <v>Before 5G</v>
      </c>
      <c r="C171">
        <v>600001</v>
      </c>
      <c r="D171" t="str">
        <f t="shared" si="5"/>
        <v>Chennai</v>
      </c>
      <c r="E171">
        <v>188.91</v>
      </c>
      <c r="F171" t="s">
        <v>84</v>
      </c>
      <c r="G171">
        <v>32.229999999999997</v>
      </c>
    </row>
    <row r="172" spans="1:7">
      <c r="A172" s="1">
        <v>44652</v>
      </c>
      <c r="B172" s="1" t="str">
        <f t="shared" si="4"/>
        <v>Before 5G</v>
      </c>
      <c r="C172">
        <v>500001</v>
      </c>
      <c r="D172" t="str">
        <f t="shared" si="5"/>
        <v>Hyderabad</v>
      </c>
      <c r="E172">
        <v>168.41</v>
      </c>
      <c r="F172" t="s">
        <v>84</v>
      </c>
      <c r="G172">
        <v>29.48</v>
      </c>
    </row>
    <row r="173" spans="1:7">
      <c r="A173" s="1">
        <v>44652</v>
      </c>
      <c r="B173" s="1" t="str">
        <f t="shared" si="4"/>
        <v>Before 5G</v>
      </c>
      <c r="C173">
        <v>411001</v>
      </c>
      <c r="D173" t="str">
        <f t="shared" si="5"/>
        <v>Pune</v>
      </c>
      <c r="E173">
        <v>160.04</v>
      </c>
      <c r="F173" t="s">
        <v>84</v>
      </c>
      <c r="G173">
        <v>19.73</v>
      </c>
    </row>
    <row r="174" spans="1:7">
      <c r="A174" s="1">
        <v>44652</v>
      </c>
      <c r="B174" s="1" t="str">
        <f t="shared" si="4"/>
        <v>Before 5G</v>
      </c>
      <c r="C174">
        <v>380001</v>
      </c>
      <c r="D174" t="str">
        <f t="shared" si="5"/>
        <v>Ahmedabad</v>
      </c>
      <c r="E174">
        <v>124.68</v>
      </c>
      <c r="F174" t="s">
        <v>84</v>
      </c>
      <c r="G174">
        <v>28.14</v>
      </c>
    </row>
    <row r="175" spans="1:7">
      <c r="A175" s="1">
        <v>44652</v>
      </c>
      <c r="B175" s="1" t="str">
        <f t="shared" si="4"/>
        <v>Before 5G</v>
      </c>
      <c r="C175">
        <v>302001</v>
      </c>
      <c r="D175" t="str">
        <f t="shared" si="5"/>
        <v>Jaipur</v>
      </c>
      <c r="E175">
        <v>89.54</v>
      </c>
      <c r="F175" t="s">
        <v>84</v>
      </c>
      <c r="G175">
        <v>30.37</v>
      </c>
    </row>
    <row r="176" spans="1:7">
      <c r="A176" s="1">
        <v>44652</v>
      </c>
      <c r="B176" s="1" t="str">
        <f t="shared" si="4"/>
        <v>Before 5G</v>
      </c>
      <c r="C176">
        <v>226001</v>
      </c>
      <c r="D176" t="str">
        <f t="shared" si="5"/>
        <v>Lucknow</v>
      </c>
      <c r="E176">
        <v>76.569999999999993</v>
      </c>
      <c r="F176" t="s">
        <v>84</v>
      </c>
      <c r="G176">
        <v>27.86</v>
      </c>
    </row>
    <row r="177" spans="1:7">
      <c r="A177" s="1">
        <v>44652</v>
      </c>
      <c r="B177" s="1" t="str">
        <f t="shared" si="4"/>
        <v>Before 5G</v>
      </c>
      <c r="C177">
        <v>800008</v>
      </c>
      <c r="D177" t="str">
        <f t="shared" si="5"/>
        <v>Patna</v>
      </c>
      <c r="E177">
        <v>63.18</v>
      </c>
      <c r="F177" t="s">
        <v>84</v>
      </c>
      <c r="G177">
        <v>28.65</v>
      </c>
    </row>
    <row r="178" spans="1:7">
      <c r="A178" s="1">
        <v>44652</v>
      </c>
      <c r="B178" s="1" t="str">
        <f t="shared" si="4"/>
        <v>Before 5G</v>
      </c>
      <c r="C178">
        <v>641001</v>
      </c>
      <c r="D178" t="str">
        <f t="shared" si="5"/>
        <v>Coimbatore</v>
      </c>
      <c r="E178">
        <v>56.9</v>
      </c>
      <c r="F178" t="s">
        <v>84</v>
      </c>
      <c r="G178">
        <v>28.8</v>
      </c>
    </row>
    <row r="179" spans="1:7">
      <c r="A179" s="1">
        <v>44652</v>
      </c>
      <c r="B179" s="1" t="str">
        <f t="shared" si="4"/>
        <v>Before 5G</v>
      </c>
      <c r="C179">
        <v>160017</v>
      </c>
      <c r="D179" t="str">
        <f t="shared" si="5"/>
        <v>Chandigarh</v>
      </c>
      <c r="E179">
        <v>41.42</v>
      </c>
      <c r="F179" t="s">
        <v>84</v>
      </c>
      <c r="G179">
        <v>17.34</v>
      </c>
    </row>
    <row r="180" spans="1:7">
      <c r="A180" s="1">
        <v>44652</v>
      </c>
      <c r="B180" s="1" t="str">
        <f t="shared" si="4"/>
        <v>Before 5G</v>
      </c>
      <c r="C180">
        <v>122001</v>
      </c>
      <c r="D180" t="str">
        <f t="shared" si="5"/>
        <v>Gurgaon</v>
      </c>
      <c r="E180">
        <v>31.59</v>
      </c>
      <c r="F180" t="s">
        <v>84</v>
      </c>
      <c r="G180">
        <v>25.59</v>
      </c>
    </row>
    <row r="181" spans="1:7">
      <c r="A181" s="1">
        <v>44652</v>
      </c>
      <c r="B181" s="1" t="str">
        <f t="shared" si="4"/>
        <v>Before 5G</v>
      </c>
      <c r="C181">
        <v>492001</v>
      </c>
      <c r="D181" t="str">
        <f t="shared" si="5"/>
        <v>Raipur</v>
      </c>
      <c r="E181">
        <v>19.87</v>
      </c>
      <c r="F181" t="s">
        <v>84</v>
      </c>
      <c r="G181">
        <v>23.98</v>
      </c>
    </row>
    <row r="182" spans="1:7">
      <c r="A182" s="1">
        <v>44713</v>
      </c>
      <c r="B182" s="1" t="str">
        <f t="shared" si="4"/>
        <v>After 5G</v>
      </c>
      <c r="C182">
        <v>400001</v>
      </c>
      <c r="D182" t="str">
        <f t="shared" si="5"/>
        <v>Mumbai</v>
      </c>
      <c r="E182">
        <v>308</v>
      </c>
      <c r="F182" t="s">
        <v>84</v>
      </c>
      <c r="G182">
        <v>25.79</v>
      </c>
    </row>
    <row r="183" spans="1:7">
      <c r="A183" s="1">
        <v>44713</v>
      </c>
      <c r="B183" s="1" t="str">
        <f t="shared" si="4"/>
        <v>After 5G</v>
      </c>
      <c r="C183">
        <v>110001</v>
      </c>
      <c r="D183" t="str">
        <f t="shared" si="5"/>
        <v>Delhi</v>
      </c>
      <c r="E183">
        <v>253.61</v>
      </c>
      <c r="F183" t="s">
        <v>84</v>
      </c>
      <c r="G183">
        <v>29.72</v>
      </c>
    </row>
    <row r="184" spans="1:7">
      <c r="A184" s="1">
        <v>44713</v>
      </c>
      <c r="B184" s="1" t="str">
        <f t="shared" si="4"/>
        <v>After 5G</v>
      </c>
      <c r="C184">
        <v>700001</v>
      </c>
      <c r="D184" t="str">
        <f t="shared" si="5"/>
        <v>Kolkata</v>
      </c>
      <c r="E184">
        <v>235.88</v>
      </c>
      <c r="F184" t="s">
        <v>84</v>
      </c>
      <c r="G184">
        <v>28.19</v>
      </c>
    </row>
    <row r="185" spans="1:7">
      <c r="A185" s="1">
        <v>44713</v>
      </c>
      <c r="B185" s="1" t="str">
        <f t="shared" si="4"/>
        <v>After 5G</v>
      </c>
      <c r="C185">
        <v>560001</v>
      </c>
      <c r="D185" t="str">
        <f t="shared" si="5"/>
        <v>Bangalore</v>
      </c>
      <c r="E185">
        <v>211.24</v>
      </c>
      <c r="F185" t="s">
        <v>84</v>
      </c>
      <c r="G185">
        <v>34.450000000000003</v>
      </c>
    </row>
    <row r="186" spans="1:7">
      <c r="A186" s="1">
        <v>44713</v>
      </c>
      <c r="B186" s="1" t="str">
        <f t="shared" si="4"/>
        <v>After 5G</v>
      </c>
      <c r="C186">
        <v>600001</v>
      </c>
      <c r="D186" t="str">
        <f t="shared" si="5"/>
        <v>Chennai</v>
      </c>
      <c r="E186">
        <v>174.99</v>
      </c>
      <c r="F186" t="s">
        <v>84</v>
      </c>
      <c r="G186">
        <v>31.83</v>
      </c>
    </row>
    <row r="187" spans="1:7">
      <c r="A187" s="1">
        <v>44713</v>
      </c>
      <c r="B187" s="1" t="str">
        <f t="shared" si="4"/>
        <v>After 5G</v>
      </c>
      <c r="C187">
        <v>500001</v>
      </c>
      <c r="D187" t="str">
        <f t="shared" si="5"/>
        <v>Hyderabad</v>
      </c>
      <c r="E187">
        <v>157.63999999999999</v>
      </c>
      <c r="F187" t="s">
        <v>84</v>
      </c>
      <c r="G187">
        <v>31.38</v>
      </c>
    </row>
    <row r="188" spans="1:7">
      <c r="A188" s="1">
        <v>44713</v>
      </c>
      <c r="B188" s="1" t="str">
        <f t="shared" si="4"/>
        <v>After 5G</v>
      </c>
      <c r="C188">
        <v>411001</v>
      </c>
      <c r="D188" t="str">
        <f t="shared" si="5"/>
        <v>Pune</v>
      </c>
      <c r="E188">
        <v>152.13</v>
      </c>
      <c r="F188" t="s">
        <v>84</v>
      </c>
      <c r="G188">
        <v>34.69</v>
      </c>
    </row>
    <row r="189" spans="1:7">
      <c r="A189" s="1">
        <v>44713</v>
      </c>
      <c r="B189" s="1" t="str">
        <f t="shared" si="4"/>
        <v>After 5G</v>
      </c>
      <c r="C189">
        <v>380001</v>
      </c>
      <c r="D189" t="str">
        <f t="shared" si="5"/>
        <v>Ahmedabad</v>
      </c>
      <c r="E189">
        <v>115.47</v>
      </c>
      <c r="F189" t="s">
        <v>84</v>
      </c>
      <c r="G189">
        <v>30.83</v>
      </c>
    </row>
    <row r="190" spans="1:7">
      <c r="A190" s="1">
        <v>44713</v>
      </c>
      <c r="B190" s="1" t="str">
        <f t="shared" si="4"/>
        <v>After 5G</v>
      </c>
      <c r="C190">
        <v>302001</v>
      </c>
      <c r="D190" t="str">
        <f t="shared" si="5"/>
        <v>Jaipur</v>
      </c>
      <c r="E190">
        <v>85.72</v>
      </c>
      <c r="F190" t="s">
        <v>84</v>
      </c>
      <c r="G190">
        <v>18.84</v>
      </c>
    </row>
    <row r="191" spans="1:7">
      <c r="A191" s="1">
        <v>44713</v>
      </c>
      <c r="B191" s="1" t="str">
        <f t="shared" si="4"/>
        <v>After 5G</v>
      </c>
      <c r="C191">
        <v>226001</v>
      </c>
      <c r="D191" t="str">
        <f t="shared" si="5"/>
        <v>Lucknow</v>
      </c>
      <c r="E191">
        <v>73.7</v>
      </c>
      <c r="F191" t="s">
        <v>84</v>
      </c>
      <c r="G191">
        <v>33.049999999999997</v>
      </c>
    </row>
    <row r="192" spans="1:7">
      <c r="A192" s="1">
        <v>44713</v>
      </c>
      <c r="B192" s="1" t="str">
        <f t="shared" si="4"/>
        <v>After 5G</v>
      </c>
      <c r="C192">
        <v>800008</v>
      </c>
      <c r="D192" t="str">
        <f t="shared" si="5"/>
        <v>Patna</v>
      </c>
      <c r="E192">
        <v>60.5</v>
      </c>
      <c r="F192" t="s">
        <v>84</v>
      </c>
      <c r="G192">
        <v>20.51</v>
      </c>
    </row>
    <row r="193" spans="1:7">
      <c r="A193" s="1">
        <v>44713</v>
      </c>
      <c r="B193" s="1" t="str">
        <f t="shared" si="4"/>
        <v>After 5G</v>
      </c>
      <c r="C193">
        <v>641001</v>
      </c>
      <c r="D193" t="str">
        <f t="shared" si="5"/>
        <v>Coimbatore</v>
      </c>
      <c r="E193">
        <v>53.6</v>
      </c>
      <c r="F193" t="s">
        <v>84</v>
      </c>
      <c r="G193">
        <v>30.84</v>
      </c>
    </row>
    <row r="194" spans="1:7">
      <c r="A194" s="1">
        <v>44713</v>
      </c>
      <c r="B194" s="1" t="str">
        <f t="shared" si="4"/>
        <v>After 5G</v>
      </c>
      <c r="C194">
        <v>160017</v>
      </c>
      <c r="D194" t="str">
        <f t="shared" si="5"/>
        <v>Chandigarh</v>
      </c>
      <c r="E194">
        <v>39.020000000000003</v>
      </c>
      <c r="F194" t="s">
        <v>84</v>
      </c>
      <c r="G194">
        <v>33.35</v>
      </c>
    </row>
    <row r="195" spans="1:7">
      <c r="A195" s="1">
        <v>44713</v>
      </c>
      <c r="B195" s="1" t="str">
        <f t="shared" ref="B195:B258" si="6">VLOOKUP(A195,$I$2:$K$9,3,FALSE)</f>
        <v>After 5G</v>
      </c>
      <c r="C195">
        <v>122001</v>
      </c>
      <c r="D195" t="str">
        <f t="shared" ref="D195:D258" si="7">VLOOKUP(C195,$O$2:$P$16,2,FALSE)</f>
        <v>Gurgaon</v>
      </c>
      <c r="E195">
        <v>30.35</v>
      </c>
      <c r="F195" t="s">
        <v>84</v>
      </c>
      <c r="G195">
        <v>27.73</v>
      </c>
    </row>
    <row r="196" spans="1:7">
      <c r="A196" s="1">
        <v>44713</v>
      </c>
      <c r="B196" s="1" t="str">
        <f t="shared" si="6"/>
        <v>After 5G</v>
      </c>
      <c r="C196">
        <v>492001</v>
      </c>
      <c r="D196" t="str">
        <f t="shared" si="7"/>
        <v>Raipur</v>
      </c>
      <c r="E196">
        <v>18.920000000000002</v>
      </c>
      <c r="F196" t="s">
        <v>84</v>
      </c>
      <c r="G196">
        <v>20.64</v>
      </c>
    </row>
    <row r="197" spans="1:7">
      <c r="A197" s="1">
        <v>44743</v>
      </c>
      <c r="B197" s="1" t="str">
        <f t="shared" si="6"/>
        <v>After 5G</v>
      </c>
      <c r="C197">
        <v>400001</v>
      </c>
      <c r="D197" t="str">
        <f t="shared" si="7"/>
        <v>Mumbai</v>
      </c>
      <c r="E197">
        <v>348.85</v>
      </c>
      <c r="F197" t="s">
        <v>84</v>
      </c>
      <c r="G197">
        <v>27.91</v>
      </c>
    </row>
    <row r="198" spans="1:7">
      <c r="A198" s="1">
        <v>44743</v>
      </c>
      <c r="B198" s="1" t="str">
        <f t="shared" si="6"/>
        <v>After 5G</v>
      </c>
      <c r="C198">
        <v>110001</v>
      </c>
      <c r="D198" t="str">
        <f t="shared" si="7"/>
        <v>Delhi</v>
      </c>
      <c r="E198">
        <v>287.25</v>
      </c>
      <c r="F198" t="s">
        <v>84</v>
      </c>
      <c r="G198">
        <v>31</v>
      </c>
    </row>
    <row r="199" spans="1:7">
      <c r="A199" s="1">
        <v>44743</v>
      </c>
      <c r="B199" s="1" t="str">
        <f t="shared" si="6"/>
        <v>After 5G</v>
      </c>
      <c r="C199">
        <v>700001</v>
      </c>
      <c r="D199" t="str">
        <f t="shared" si="7"/>
        <v>Kolkata</v>
      </c>
      <c r="E199">
        <v>267.16000000000003</v>
      </c>
      <c r="F199" t="s">
        <v>84</v>
      </c>
      <c r="G199">
        <v>31.46</v>
      </c>
    </row>
    <row r="200" spans="1:7">
      <c r="A200" s="1">
        <v>44743</v>
      </c>
      <c r="B200" s="1" t="str">
        <f t="shared" si="6"/>
        <v>After 5G</v>
      </c>
      <c r="C200">
        <v>560001</v>
      </c>
      <c r="D200" t="str">
        <f t="shared" si="7"/>
        <v>Bangalore</v>
      </c>
      <c r="E200">
        <v>239.26</v>
      </c>
      <c r="F200" t="s">
        <v>84</v>
      </c>
      <c r="G200">
        <v>31</v>
      </c>
    </row>
    <row r="201" spans="1:7">
      <c r="A201" s="1">
        <v>44743</v>
      </c>
      <c r="B201" s="1" t="str">
        <f t="shared" si="6"/>
        <v>After 5G</v>
      </c>
      <c r="C201">
        <v>600001</v>
      </c>
      <c r="D201" t="str">
        <f t="shared" si="7"/>
        <v>Chennai</v>
      </c>
      <c r="E201">
        <v>198.2</v>
      </c>
      <c r="F201" t="s">
        <v>84</v>
      </c>
      <c r="G201">
        <v>22.28</v>
      </c>
    </row>
    <row r="202" spans="1:7">
      <c r="A202" s="1">
        <v>44743</v>
      </c>
      <c r="B202" s="1" t="str">
        <f t="shared" si="6"/>
        <v>After 5G</v>
      </c>
      <c r="C202">
        <v>500001</v>
      </c>
      <c r="D202" t="str">
        <f t="shared" si="7"/>
        <v>Hyderabad</v>
      </c>
      <c r="E202">
        <v>178.56</v>
      </c>
      <c r="F202" t="s">
        <v>84</v>
      </c>
      <c r="G202">
        <v>23.92</v>
      </c>
    </row>
    <row r="203" spans="1:7">
      <c r="A203" s="1">
        <v>44743</v>
      </c>
      <c r="B203" s="1" t="str">
        <f t="shared" si="6"/>
        <v>After 5G</v>
      </c>
      <c r="C203">
        <v>411001</v>
      </c>
      <c r="D203" t="str">
        <f t="shared" si="7"/>
        <v>Pune</v>
      </c>
      <c r="E203">
        <v>172.31</v>
      </c>
      <c r="F203" t="s">
        <v>84</v>
      </c>
      <c r="G203">
        <v>33.14</v>
      </c>
    </row>
    <row r="204" spans="1:7">
      <c r="A204" s="1">
        <v>44743</v>
      </c>
      <c r="B204" s="1" t="str">
        <f t="shared" si="6"/>
        <v>After 5G</v>
      </c>
      <c r="C204">
        <v>380001</v>
      </c>
      <c r="D204" t="str">
        <f t="shared" si="7"/>
        <v>Ahmedabad</v>
      </c>
      <c r="E204">
        <v>130.79</v>
      </c>
      <c r="F204" t="s">
        <v>84</v>
      </c>
      <c r="G204">
        <v>27.73</v>
      </c>
    </row>
    <row r="205" spans="1:7">
      <c r="A205" s="1">
        <v>44743</v>
      </c>
      <c r="B205" s="1" t="str">
        <f t="shared" si="6"/>
        <v>After 5G</v>
      </c>
      <c r="C205">
        <v>302001</v>
      </c>
      <c r="D205" t="str">
        <f t="shared" si="7"/>
        <v>Jaipur</v>
      </c>
      <c r="E205">
        <v>97.09</v>
      </c>
      <c r="F205" t="s">
        <v>84</v>
      </c>
      <c r="G205">
        <v>32.479999999999997</v>
      </c>
    </row>
    <row r="206" spans="1:7">
      <c r="A206" s="1">
        <v>44743</v>
      </c>
      <c r="B206" s="1" t="str">
        <f t="shared" si="6"/>
        <v>After 5G</v>
      </c>
      <c r="C206">
        <v>226001</v>
      </c>
      <c r="D206" t="str">
        <f t="shared" si="7"/>
        <v>Lucknow</v>
      </c>
      <c r="E206">
        <v>83.47</v>
      </c>
      <c r="F206" t="s">
        <v>84</v>
      </c>
      <c r="G206">
        <v>17.899999999999999</v>
      </c>
    </row>
    <row r="207" spans="1:7">
      <c r="A207" s="1">
        <v>44743</v>
      </c>
      <c r="B207" s="1" t="str">
        <f t="shared" si="6"/>
        <v>After 5G</v>
      </c>
      <c r="C207">
        <v>800008</v>
      </c>
      <c r="D207" t="str">
        <f t="shared" si="7"/>
        <v>Patna</v>
      </c>
      <c r="E207">
        <v>68.52</v>
      </c>
      <c r="F207" t="s">
        <v>84</v>
      </c>
      <c r="G207">
        <v>32.24</v>
      </c>
    </row>
    <row r="208" spans="1:7">
      <c r="A208" s="1">
        <v>44743</v>
      </c>
      <c r="B208" s="1" t="str">
        <f t="shared" si="6"/>
        <v>After 5G</v>
      </c>
      <c r="C208">
        <v>641001</v>
      </c>
      <c r="D208" t="str">
        <f t="shared" si="7"/>
        <v>Coimbatore</v>
      </c>
      <c r="E208">
        <v>60.71</v>
      </c>
      <c r="F208" t="s">
        <v>84</v>
      </c>
      <c r="G208">
        <v>29.72</v>
      </c>
    </row>
    <row r="209" spans="1:7">
      <c r="A209" s="1">
        <v>44743</v>
      </c>
      <c r="B209" s="1" t="str">
        <f t="shared" si="6"/>
        <v>After 5G</v>
      </c>
      <c r="C209">
        <v>160017</v>
      </c>
      <c r="D209" t="str">
        <f t="shared" si="7"/>
        <v>Chandigarh</v>
      </c>
      <c r="E209">
        <v>44.19</v>
      </c>
      <c r="F209" t="s">
        <v>84</v>
      </c>
      <c r="G209">
        <v>29.83</v>
      </c>
    </row>
    <row r="210" spans="1:7">
      <c r="A210" s="1">
        <v>44743</v>
      </c>
      <c r="B210" s="1" t="str">
        <f t="shared" si="6"/>
        <v>After 5G</v>
      </c>
      <c r="C210">
        <v>122001</v>
      </c>
      <c r="D210" t="str">
        <f t="shared" si="7"/>
        <v>Gurgaon</v>
      </c>
      <c r="E210">
        <v>34.369999999999997</v>
      </c>
      <c r="F210" t="s">
        <v>84</v>
      </c>
      <c r="G210">
        <v>20.51</v>
      </c>
    </row>
    <row r="211" spans="1:7">
      <c r="A211" s="1">
        <v>44743</v>
      </c>
      <c r="B211" s="1" t="str">
        <f t="shared" si="6"/>
        <v>After 5G</v>
      </c>
      <c r="C211">
        <v>492001</v>
      </c>
      <c r="D211" t="str">
        <f t="shared" si="7"/>
        <v>Raipur</v>
      </c>
      <c r="E211">
        <v>21.43</v>
      </c>
      <c r="F211" t="s">
        <v>84</v>
      </c>
      <c r="G211">
        <v>27.41</v>
      </c>
    </row>
    <row r="212" spans="1:7">
      <c r="A212" s="1">
        <v>44774</v>
      </c>
      <c r="B212" s="1" t="str">
        <f t="shared" si="6"/>
        <v>After 5G</v>
      </c>
      <c r="C212">
        <v>400001</v>
      </c>
      <c r="D212" t="str">
        <f t="shared" si="7"/>
        <v>Mumbai</v>
      </c>
      <c r="E212">
        <v>333.45</v>
      </c>
      <c r="F212" t="s">
        <v>84</v>
      </c>
      <c r="G212">
        <v>32.630000000000003</v>
      </c>
    </row>
    <row r="213" spans="1:7">
      <c r="A213" s="1">
        <v>44774</v>
      </c>
      <c r="B213" s="1" t="str">
        <f t="shared" si="6"/>
        <v>After 5G</v>
      </c>
      <c r="C213">
        <v>110001</v>
      </c>
      <c r="D213" t="str">
        <f t="shared" si="7"/>
        <v>Delhi</v>
      </c>
      <c r="E213">
        <v>274.57</v>
      </c>
      <c r="F213" t="s">
        <v>84</v>
      </c>
      <c r="G213">
        <v>32.43</v>
      </c>
    </row>
    <row r="214" spans="1:7">
      <c r="A214" s="1">
        <v>44774</v>
      </c>
      <c r="B214" s="1" t="str">
        <f t="shared" si="6"/>
        <v>After 5G</v>
      </c>
      <c r="C214">
        <v>700001</v>
      </c>
      <c r="D214" t="str">
        <f t="shared" si="7"/>
        <v>Kolkata</v>
      </c>
      <c r="E214">
        <v>255.37</v>
      </c>
      <c r="F214" t="s">
        <v>84</v>
      </c>
      <c r="G214">
        <v>20.010000000000002</v>
      </c>
    </row>
    <row r="215" spans="1:7">
      <c r="A215" s="1">
        <v>44774</v>
      </c>
      <c r="B215" s="1" t="str">
        <f t="shared" si="6"/>
        <v>After 5G</v>
      </c>
      <c r="C215">
        <v>560001</v>
      </c>
      <c r="D215" t="str">
        <f t="shared" si="7"/>
        <v>Bangalore</v>
      </c>
      <c r="E215">
        <v>228.7</v>
      </c>
      <c r="F215" t="s">
        <v>84</v>
      </c>
      <c r="G215">
        <v>28.48</v>
      </c>
    </row>
    <row r="216" spans="1:7">
      <c r="A216" s="1">
        <v>44774</v>
      </c>
      <c r="B216" s="1" t="str">
        <f t="shared" si="6"/>
        <v>After 5G</v>
      </c>
      <c r="C216">
        <v>600001</v>
      </c>
      <c r="D216" t="str">
        <f t="shared" si="7"/>
        <v>Chennai</v>
      </c>
      <c r="E216">
        <v>189.45</v>
      </c>
      <c r="F216" t="s">
        <v>84</v>
      </c>
      <c r="G216">
        <v>24.5</v>
      </c>
    </row>
    <row r="217" spans="1:7">
      <c r="A217" s="1">
        <v>44774</v>
      </c>
      <c r="B217" s="1" t="str">
        <f t="shared" si="6"/>
        <v>After 5G</v>
      </c>
      <c r="C217">
        <v>500001</v>
      </c>
      <c r="D217" t="str">
        <f t="shared" si="7"/>
        <v>Hyderabad</v>
      </c>
      <c r="E217">
        <v>170.67</v>
      </c>
      <c r="F217" t="s">
        <v>84</v>
      </c>
      <c r="G217">
        <v>32.33</v>
      </c>
    </row>
    <row r="218" spans="1:7">
      <c r="A218" s="1">
        <v>44774</v>
      </c>
      <c r="B218" s="1" t="str">
        <f t="shared" si="6"/>
        <v>After 5G</v>
      </c>
      <c r="C218">
        <v>411001</v>
      </c>
      <c r="D218" t="str">
        <f t="shared" si="7"/>
        <v>Pune</v>
      </c>
      <c r="E218">
        <v>164.7</v>
      </c>
      <c r="F218" t="s">
        <v>84</v>
      </c>
      <c r="G218">
        <v>28.62</v>
      </c>
    </row>
    <row r="219" spans="1:7">
      <c r="A219" s="1">
        <v>44774</v>
      </c>
      <c r="B219" s="1" t="str">
        <f t="shared" si="6"/>
        <v>After 5G</v>
      </c>
      <c r="C219">
        <v>380001</v>
      </c>
      <c r="D219" t="str">
        <f t="shared" si="7"/>
        <v>Ahmedabad</v>
      </c>
      <c r="E219">
        <v>125.02</v>
      </c>
      <c r="F219" t="s">
        <v>84</v>
      </c>
      <c r="G219">
        <v>20.76</v>
      </c>
    </row>
    <row r="220" spans="1:7">
      <c r="A220" s="1">
        <v>44774</v>
      </c>
      <c r="B220" s="1" t="str">
        <f t="shared" si="6"/>
        <v>After 5G</v>
      </c>
      <c r="C220">
        <v>302001</v>
      </c>
      <c r="D220" t="str">
        <f t="shared" si="7"/>
        <v>Jaipur</v>
      </c>
      <c r="E220">
        <v>92.8</v>
      </c>
      <c r="F220" t="s">
        <v>84</v>
      </c>
      <c r="G220">
        <v>27.06</v>
      </c>
    </row>
    <row r="221" spans="1:7">
      <c r="A221" s="1">
        <v>44774</v>
      </c>
      <c r="B221" s="1" t="str">
        <f t="shared" si="6"/>
        <v>After 5G</v>
      </c>
      <c r="C221">
        <v>226001</v>
      </c>
      <c r="D221" t="str">
        <f t="shared" si="7"/>
        <v>Lucknow</v>
      </c>
      <c r="E221">
        <v>79.790000000000006</v>
      </c>
      <c r="F221" t="s">
        <v>84</v>
      </c>
      <c r="G221">
        <v>25.32</v>
      </c>
    </row>
    <row r="222" spans="1:7">
      <c r="A222" s="1">
        <v>44774</v>
      </c>
      <c r="B222" s="1" t="str">
        <f t="shared" si="6"/>
        <v>After 5G</v>
      </c>
      <c r="C222">
        <v>800008</v>
      </c>
      <c r="D222" t="str">
        <f t="shared" si="7"/>
        <v>Patna</v>
      </c>
      <c r="E222">
        <v>65.5</v>
      </c>
      <c r="F222" t="s">
        <v>84</v>
      </c>
      <c r="G222">
        <v>26.26</v>
      </c>
    </row>
    <row r="223" spans="1:7">
      <c r="A223" s="1">
        <v>44774</v>
      </c>
      <c r="B223" s="1" t="str">
        <f t="shared" si="6"/>
        <v>After 5G</v>
      </c>
      <c r="C223">
        <v>641001</v>
      </c>
      <c r="D223" t="str">
        <f t="shared" si="7"/>
        <v>Coimbatore</v>
      </c>
      <c r="E223">
        <v>58.03</v>
      </c>
      <c r="F223" t="s">
        <v>84</v>
      </c>
      <c r="G223">
        <v>18.68</v>
      </c>
    </row>
    <row r="224" spans="1:7">
      <c r="A224" s="1">
        <v>44774</v>
      </c>
      <c r="B224" s="1" t="str">
        <f t="shared" si="6"/>
        <v>After 5G</v>
      </c>
      <c r="C224">
        <v>160017</v>
      </c>
      <c r="D224" t="str">
        <f t="shared" si="7"/>
        <v>Chandigarh</v>
      </c>
      <c r="E224">
        <v>42.24</v>
      </c>
      <c r="F224" t="s">
        <v>84</v>
      </c>
      <c r="G224">
        <v>26.35</v>
      </c>
    </row>
    <row r="225" spans="1:7">
      <c r="A225" s="1">
        <v>44774</v>
      </c>
      <c r="B225" s="1" t="str">
        <f t="shared" si="6"/>
        <v>After 5G</v>
      </c>
      <c r="C225">
        <v>122001</v>
      </c>
      <c r="D225" t="str">
        <f t="shared" si="7"/>
        <v>Gurgaon</v>
      </c>
      <c r="E225">
        <v>32.85</v>
      </c>
      <c r="F225" t="s">
        <v>84</v>
      </c>
      <c r="G225">
        <v>31.41</v>
      </c>
    </row>
    <row r="226" spans="1:7">
      <c r="A226" s="1">
        <v>44774</v>
      </c>
      <c r="B226" s="1" t="str">
        <f t="shared" si="6"/>
        <v>After 5G</v>
      </c>
      <c r="C226">
        <v>492001</v>
      </c>
      <c r="D226" t="str">
        <f t="shared" si="7"/>
        <v>Raipur</v>
      </c>
      <c r="E226">
        <v>20.48</v>
      </c>
      <c r="F226" t="s">
        <v>84</v>
      </c>
      <c r="G226">
        <v>25.61</v>
      </c>
    </row>
    <row r="227" spans="1:7">
      <c r="A227" s="1">
        <v>44805</v>
      </c>
      <c r="B227" s="1" t="str">
        <f t="shared" si="6"/>
        <v>After 5G</v>
      </c>
      <c r="C227">
        <v>400001</v>
      </c>
      <c r="D227" t="str">
        <f t="shared" si="7"/>
        <v>Mumbai</v>
      </c>
      <c r="E227">
        <v>349.97</v>
      </c>
      <c r="F227" t="s">
        <v>84</v>
      </c>
      <c r="G227">
        <v>28.82</v>
      </c>
    </row>
    <row r="228" spans="1:7">
      <c r="A228" s="1">
        <v>44805</v>
      </c>
      <c r="B228" s="1" t="str">
        <f t="shared" si="6"/>
        <v>After 5G</v>
      </c>
      <c r="C228">
        <v>110001</v>
      </c>
      <c r="D228" t="str">
        <f t="shared" si="7"/>
        <v>Delhi</v>
      </c>
      <c r="E228">
        <v>288.17</v>
      </c>
      <c r="F228" t="s">
        <v>84</v>
      </c>
      <c r="G228">
        <v>31.02</v>
      </c>
    </row>
    <row r="229" spans="1:7">
      <c r="A229" s="1">
        <v>44805</v>
      </c>
      <c r="B229" s="1" t="str">
        <f t="shared" si="6"/>
        <v>After 5G</v>
      </c>
      <c r="C229">
        <v>700001</v>
      </c>
      <c r="D229" t="str">
        <f t="shared" si="7"/>
        <v>Kolkata</v>
      </c>
      <c r="E229">
        <v>268.02</v>
      </c>
      <c r="F229" t="s">
        <v>84</v>
      </c>
      <c r="G229">
        <v>27.51</v>
      </c>
    </row>
    <row r="230" spans="1:7">
      <c r="A230" s="1">
        <v>44805</v>
      </c>
      <c r="B230" s="1" t="str">
        <f t="shared" si="6"/>
        <v>After 5G</v>
      </c>
      <c r="C230">
        <v>560001</v>
      </c>
      <c r="D230" t="str">
        <f t="shared" si="7"/>
        <v>Bangalore</v>
      </c>
      <c r="E230">
        <v>240.03</v>
      </c>
      <c r="F230" t="s">
        <v>84</v>
      </c>
      <c r="G230">
        <v>26.86</v>
      </c>
    </row>
    <row r="231" spans="1:7">
      <c r="A231" s="1">
        <v>44805</v>
      </c>
      <c r="B231" s="1" t="str">
        <f t="shared" si="6"/>
        <v>After 5G</v>
      </c>
      <c r="C231">
        <v>600001</v>
      </c>
      <c r="D231" t="str">
        <f t="shared" si="7"/>
        <v>Chennai</v>
      </c>
      <c r="E231">
        <v>198.83</v>
      </c>
      <c r="F231" t="s">
        <v>84</v>
      </c>
      <c r="G231">
        <v>32.840000000000003</v>
      </c>
    </row>
    <row r="232" spans="1:7">
      <c r="A232" s="1">
        <v>44805</v>
      </c>
      <c r="B232" s="1" t="str">
        <f t="shared" si="6"/>
        <v>After 5G</v>
      </c>
      <c r="C232">
        <v>500001</v>
      </c>
      <c r="D232" t="str">
        <f t="shared" si="7"/>
        <v>Hyderabad</v>
      </c>
      <c r="E232">
        <v>179.13</v>
      </c>
      <c r="F232" t="s">
        <v>84</v>
      </c>
      <c r="G232">
        <v>29.95</v>
      </c>
    </row>
    <row r="233" spans="1:7">
      <c r="A233" s="1">
        <v>44805</v>
      </c>
      <c r="B233" s="1" t="str">
        <f t="shared" si="6"/>
        <v>After 5G</v>
      </c>
      <c r="C233">
        <v>411001</v>
      </c>
      <c r="D233" t="str">
        <f t="shared" si="7"/>
        <v>Pune</v>
      </c>
      <c r="E233">
        <v>172.86</v>
      </c>
      <c r="F233" t="s">
        <v>84</v>
      </c>
      <c r="G233">
        <v>20.34</v>
      </c>
    </row>
    <row r="234" spans="1:7">
      <c r="A234" s="1">
        <v>44805</v>
      </c>
      <c r="B234" s="1" t="str">
        <f t="shared" si="6"/>
        <v>After 5G</v>
      </c>
      <c r="C234">
        <v>380001</v>
      </c>
      <c r="D234" t="str">
        <f t="shared" si="7"/>
        <v>Ahmedabad</v>
      </c>
      <c r="E234">
        <v>131.21</v>
      </c>
      <c r="F234" t="s">
        <v>84</v>
      </c>
      <c r="G234">
        <v>28.71</v>
      </c>
    </row>
    <row r="235" spans="1:7">
      <c r="A235" s="1">
        <v>44805</v>
      </c>
      <c r="B235" s="1" t="str">
        <f t="shared" si="6"/>
        <v>After 5G</v>
      </c>
      <c r="C235">
        <v>302001</v>
      </c>
      <c r="D235" t="str">
        <f t="shared" si="7"/>
        <v>Jaipur</v>
      </c>
      <c r="E235">
        <v>97.4</v>
      </c>
      <c r="F235" t="s">
        <v>84</v>
      </c>
      <c r="G235">
        <v>30.93</v>
      </c>
    </row>
    <row r="236" spans="1:7">
      <c r="A236" s="1">
        <v>44805</v>
      </c>
      <c r="B236" s="1" t="str">
        <f t="shared" si="6"/>
        <v>After 5G</v>
      </c>
      <c r="C236">
        <v>226001</v>
      </c>
      <c r="D236" t="str">
        <f t="shared" si="7"/>
        <v>Lucknow</v>
      </c>
      <c r="E236">
        <v>83.74</v>
      </c>
      <c r="F236" t="s">
        <v>84</v>
      </c>
      <c r="G236">
        <v>28.36</v>
      </c>
    </row>
    <row r="237" spans="1:7">
      <c r="A237" s="1">
        <v>44805</v>
      </c>
      <c r="B237" s="1" t="str">
        <f t="shared" si="6"/>
        <v>After 5G</v>
      </c>
      <c r="C237">
        <v>800008</v>
      </c>
      <c r="D237" t="str">
        <f t="shared" si="7"/>
        <v>Patna</v>
      </c>
      <c r="E237">
        <v>68.739999999999995</v>
      </c>
      <c r="F237" t="s">
        <v>84</v>
      </c>
      <c r="G237">
        <v>29.16</v>
      </c>
    </row>
    <row r="238" spans="1:7">
      <c r="A238" s="1">
        <v>44805</v>
      </c>
      <c r="B238" s="1" t="str">
        <f t="shared" si="6"/>
        <v>After 5G</v>
      </c>
      <c r="C238">
        <v>641001</v>
      </c>
      <c r="D238" t="str">
        <f t="shared" si="7"/>
        <v>Coimbatore</v>
      </c>
      <c r="E238">
        <v>60.9</v>
      </c>
      <c r="F238" t="s">
        <v>84</v>
      </c>
      <c r="G238">
        <v>29.26</v>
      </c>
    </row>
    <row r="239" spans="1:7">
      <c r="A239" s="1">
        <v>44805</v>
      </c>
      <c r="B239" s="1" t="str">
        <f t="shared" si="6"/>
        <v>After 5G</v>
      </c>
      <c r="C239">
        <v>160017</v>
      </c>
      <c r="D239" t="str">
        <f t="shared" si="7"/>
        <v>Chandigarh</v>
      </c>
      <c r="E239">
        <v>44.33</v>
      </c>
      <c r="F239" t="s">
        <v>84</v>
      </c>
      <c r="G239">
        <v>17.809999999999999</v>
      </c>
    </row>
    <row r="240" spans="1:7">
      <c r="A240" s="1">
        <v>44805</v>
      </c>
      <c r="B240" s="1" t="str">
        <f t="shared" si="6"/>
        <v>After 5G</v>
      </c>
      <c r="C240">
        <v>122001</v>
      </c>
      <c r="D240" t="str">
        <f t="shared" si="7"/>
        <v>Gurgaon</v>
      </c>
      <c r="E240">
        <v>34.479999999999997</v>
      </c>
      <c r="F240" t="s">
        <v>84</v>
      </c>
      <c r="G240">
        <v>26.09</v>
      </c>
    </row>
    <row r="241" spans="1:7">
      <c r="A241" s="1">
        <v>44805</v>
      </c>
      <c r="B241" s="1" t="str">
        <f t="shared" si="6"/>
        <v>After 5G</v>
      </c>
      <c r="C241">
        <v>492001</v>
      </c>
      <c r="D241" t="str">
        <f t="shared" si="7"/>
        <v>Raipur</v>
      </c>
      <c r="E241">
        <v>21.5</v>
      </c>
      <c r="F241" t="s">
        <v>84</v>
      </c>
      <c r="G241">
        <v>24.4</v>
      </c>
    </row>
    <row r="242" spans="1:7">
      <c r="A242" s="1">
        <v>44562</v>
      </c>
      <c r="B242" s="1" t="str">
        <f t="shared" si="6"/>
        <v>Before 5G</v>
      </c>
      <c r="C242">
        <v>400001</v>
      </c>
      <c r="D242" t="str">
        <f t="shared" si="7"/>
        <v>Mumbai</v>
      </c>
      <c r="E242">
        <v>286.29000000000002</v>
      </c>
      <c r="F242" t="s">
        <v>85</v>
      </c>
      <c r="G242">
        <v>33.96</v>
      </c>
    </row>
    <row r="243" spans="1:7">
      <c r="A243" s="1">
        <v>44562</v>
      </c>
      <c r="B243" s="1" t="str">
        <f t="shared" si="6"/>
        <v>Before 5G</v>
      </c>
      <c r="C243">
        <v>110001</v>
      </c>
      <c r="D243" t="str">
        <f t="shared" si="7"/>
        <v>Delhi</v>
      </c>
      <c r="E243">
        <v>241.59</v>
      </c>
      <c r="F243" t="s">
        <v>85</v>
      </c>
      <c r="G243">
        <v>35.770000000000003</v>
      </c>
    </row>
    <row r="244" spans="1:7">
      <c r="A244" s="1">
        <v>44562</v>
      </c>
      <c r="B244" s="1" t="str">
        <f t="shared" si="6"/>
        <v>Before 5G</v>
      </c>
      <c r="C244">
        <v>700001</v>
      </c>
      <c r="D244" t="str">
        <f t="shared" si="7"/>
        <v>Kolkata</v>
      </c>
      <c r="E244">
        <v>222.19</v>
      </c>
      <c r="F244" t="s">
        <v>85</v>
      </c>
      <c r="G244">
        <v>38.08</v>
      </c>
    </row>
    <row r="245" spans="1:7">
      <c r="A245" s="1">
        <v>44562</v>
      </c>
      <c r="B245" s="1" t="str">
        <f t="shared" si="6"/>
        <v>Before 5G</v>
      </c>
      <c r="C245">
        <v>560001</v>
      </c>
      <c r="D245" t="str">
        <f t="shared" si="7"/>
        <v>Bangalore</v>
      </c>
      <c r="E245">
        <v>195.41</v>
      </c>
      <c r="F245" t="s">
        <v>85</v>
      </c>
      <c r="G245">
        <v>33.01</v>
      </c>
    </row>
    <row r="246" spans="1:7">
      <c r="A246" s="1">
        <v>44562</v>
      </c>
      <c r="B246" s="1" t="str">
        <f t="shared" si="6"/>
        <v>Before 5G</v>
      </c>
      <c r="C246">
        <v>600001</v>
      </c>
      <c r="D246" t="str">
        <f t="shared" si="7"/>
        <v>Chennai</v>
      </c>
      <c r="E246">
        <v>166.78</v>
      </c>
      <c r="F246" t="s">
        <v>85</v>
      </c>
      <c r="G246">
        <v>35.89</v>
      </c>
    </row>
    <row r="247" spans="1:7">
      <c r="A247" s="1">
        <v>44562</v>
      </c>
      <c r="B247" s="1" t="str">
        <f t="shared" si="6"/>
        <v>Before 5G</v>
      </c>
      <c r="C247">
        <v>500001</v>
      </c>
      <c r="D247" t="str">
        <f t="shared" si="7"/>
        <v>Hyderabad</v>
      </c>
      <c r="E247">
        <v>148.68</v>
      </c>
      <c r="F247" t="s">
        <v>85</v>
      </c>
      <c r="G247">
        <v>34.049999999999997</v>
      </c>
    </row>
    <row r="248" spans="1:7">
      <c r="A248" s="1">
        <v>44562</v>
      </c>
      <c r="B248" s="1" t="str">
        <f t="shared" si="6"/>
        <v>Before 5G</v>
      </c>
      <c r="C248">
        <v>411001</v>
      </c>
      <c r="D248" t="str">
        <f t="shared" si="7"/>
        <v>Pune</v>
      </c>
      <c r="E248">
        <v>141.30000000000001</v>
      </c>
      <c r="F248" t="s">
        <v>85</v>
      </c>
      <c r="G248">
        <v>31.34</v>
      </c>
    </row>
    <row r="249" spans="1:7">
      <c r="A249" s="1">
        <v>44562</v>
      </c>
      <c r="B249" s="1" t="str">
        <f t="shared" si="6"/>
        <v>Before 5G</v>
      </c>
      <c r="C249">
        <v>380001</v>
      </c>
      <c r="D249" t="str">
        <f t="shared" si="7"/>
        <v>Ahmedabad</v>
      </c>
      <c r="E249">
        <v>110.08</v>
      </c>
      <c r="F249" t="s">
        <v>85</v>
      </c>
      <c r="G249">
        <v>32.08</v>
      </c>
    </row>
    <row r="250" spans="1:7">
      <c r="A250" s="1">
        <v>44562</v>
      </c>
      <c r="B250" s="1" t="str">
        <f t="shared" si="6"/>
        <v>Before 5G</v>
      </c>
      <c r="C250">
        <v>302001</v>
      </c>
      <c r="D250" t="str">
        <f t="shared" si="7"/>
        <v>Jaipur</v>
      </c>
      <c r="E250">
        <v>79.05</v>
      </c>
      <c r="F250" t="s">
        <v>85</v>
      </c>
      <c r="G250">
        <v>34.92</v>
      </c>
    </row>
    <row r="251" spans="1:7">
      <c r="A251" s="1">
        <v>44562</v>
      </c>
      <c r="B251" s="1" t="str">
        <f t="shared" si="6"/>
        <v>Before 5G</v>
      </c>
      <c r="C251">
        <v>226001</v>
      </c>
      <c r="D251" t="str">
        <f t="shared" si="7"/>
        <v>Lucknow</v>
      </c>
      <c r="E251">
        <v>67.599999999999994</v>
      </c>
      <c r="F251" t="s">
        <v>85</v>
      </c>
      <c r="G251">
        <v>31.28</v>
      </c>
    </row>
    <row r="252" spans="1:7">
      <c r="A252" s="1">
        <v>44562</v>
      </c>
      <c r="B252" s="1" t="str">
        <f t="shared" si="6"/>
        <v>Before 5G</v>
      </c>
      <c r="C252">
        <v>800008</v>
      </c>
      <c r="D252" t="str">
        <f t="shared" si="7"/>
        <v>Patna</v>
      </c>
      <c r="E252">
        <v>55.78</v>
      </c>
      <c r="F252" t="s">
        <v>85</v>
      </c>
      <c r="G252">
        <v>34.18</v>
      </c>
    </row>
    <row r="253" spans="1:7">
      <c r="A253" s="1">
        <v>44562</v>
      </c>
      <c r="B253" s="1" t="str">
        <f t="shared" si="6"/>
        <v>Before 5G</v>
      </c>
      <c r="C253">
        <v>641001</v>
      </c>
      <c r="D253" t="str">
        <f t="shared" si="7"/>
        <v>Coimbatore</v>
      </c>
      <c r="E253">
        <v>50.24</v>
      </c>
      <c r="F253" t="s">
        <v>85</v>
      </c>
      <c r="G253">
        <v>36.64</v>
      </c>
    </row>
    <row r="254" spans="1:7">
      <c r="A254" s="1">
        <v>44562</v>
      </c>
      <c r="B254" s="1" t="str">
        <f t="shared" si="6"/>
        <v>Before 5G</v>
      </c>
      <c r="C254">
        <v>160017</v>
      </c>
      <c r="D254" t="str">
        <f t="shared" si="7"/>
        <v>Chandigarh</v>
      </c>
      <c r="E254">
        <v>36.57</v>
      </c>
      <c r="F254" t="s">
        <v>85</v>
      </c>
      <c r="G254">
        <v>32.49</v>
      </c>
    </row>
    <row r="255" spans="1:7">
      <c r="A255" s="1">
        <v>44562</v>
      </c>
      <c r="B255" s="1" t="str">
        <f t="shared" si="6"/>
        <v>Before 5G</v>
      </c>
      <c r="C255">
        <v>122001</v>
      </c>
      <c r="D255" t="str">
        <f t="shared" si="7"/>
        <v>Gurgaon</v>
      </c>
      <c r="E255">
        <v>27.89</v>
      </c>
      <c r="F255" t="s">
        <v>85</v>
      </c>
      <c r="G255">
        <v>35.33</v>
      </c>
    </row>
    <row r="256" spans="1:7">
      <c r="A256" s="1">
        <v>44562</v>
      </c>
      <c r="B256" s="1" t="str">
        <f t="shared" si="6"/>
        <v>Before 5G</v>
      </c>
      <c r="C256">
        <v>492001</v>
      </c>
      <c r="D256" t="str">
        <f t="shared" si="7"/>
        <v>Raipur</v>
      </c>
      <c r="E256">
        <v>17.55</v>
      </c>
      <c r="F256" t="s">
        <v>85</v>
      </c>
      <c r="G256">
        <v>36.4</v>
      </c>
    </row>
    <row r="257" spans="1:7">
      <c r="A257" s="1">
        <v>44593</v>
      </c>
      <c r="B257" s="1" t="str">
        <f t="shared" si="6"/>
        <v>Before 5G</v>
      </c>
      <c r="C257">
        <v>400001</v>
      </c>
      <c r="D257" t="str">
        <f t="shared" si="7"/>
        <v>Mumbai</v>
      </c>
      <c r="E257">
        <v>328.6</v>
      </c>
      <c r="F257" t="s">
        <v>85</v>
      </c>
      <c r="G257">
        <v>36.83</v>
      </c>
    </row>
    <row r="258" spans="1:7">
      <c r="A258" s="1">
        <v>44593</v>
      </c>
      <c r="B258" s="1" t="str">
        <f t="shared" si="6"/>
        <v>Before 5G</v>
      </c>
      <c r="C258">
        <v>110001</v>
      </c>
      <c r="D258" t="str">
        <f t="shared" si="7"/>
        <v>Delhi</v>
      </c>
      <c r="E258">
        <v>277.3</v>
      </c>
      <c r="F258" t="s">
        <v>85</v>
      </c>
      <c r="G258">
        <v>34.01</v>
      </c>
    </row>
    <row r="259" spans="1:7">
      <c r="A259" s="1">
        <v>44593</v>
      </c>
      <c r="B259" s="1" t="str">
        <f t="shared" ref="B259:B322" si="8">VLOOKUP(A259,$I$2:$K$9,3,FALSE)</f>
        <v>Before 5G</v>
      </c>
      <c r="C259">
        <v>700001</v>
      </c>
      <c r="D259" t="str">
        <f t="shared" ref="D259:D322" si="9">VLOOKUP(C259,$O$2:$P$16,2,FALSE)</f>
        <v>Kolkata</v>
      </c>
      <c r="E259">
        <v>255.04</v>
      </c>
      <c r="F259" t="s">
        <v>85</v>
      </c>
      <c r="G259">
        <v>36.01</v>
      </c>
    </row>
    <row r="260" spans="1:7">
      <c r="A260" s="1">
        <v>44593</v>
      </c>
      <c r="B260" s="1" t="str">
        <f t="shared" si="8"/>
        <v>Before 5G</v>
      </c>
      <c r="C260">
        <v>560001</v>
      </c>
      <c r="D260" t="str">
        <f t="shared" si="9"/>
        <v>Bangalore</v>
      </c>
      <c r="E260">
        <v>224.3</v>
      </c>
      <c r="F260" t="s">
        <v>85</v>
      </c>
      <c r="G260">
        <v>32.01</v>
      </c>
    </row>
    <row r="261" spans="1:7">
      <c r="A261" s="1">
        <v>44593</v>
      </c>
      <c r="B261" s="1" t="str">
        <f t="shared" si="8"/>
        <v>Before 5G</v>
      </c>
      <c r="C261">
        <v>600001</v>
      </c>
      <c r="D261" t="str">
        <f t="shared" si="9"/>
        <v>Chennai</v>
      </c>
      <c r="E261">
        <v>191.44</v>
      </c>
      <c r="F261" t="s">
        <v>85</v>
      </c>
      <c r="G261">
        <v>31.77</v>
      </c>
    </row>
    <row r="262" spans="1:7">
      <c r="A262" s="1">
        <v>44593</v>
      </c>
      <c r="B262" s="1" t="str">
        <f t="shared" si="8"/>
        <v>Before 5G</v>
      </c>
      <c r="C262">
        <v>500001</v>
      </c>
      <c r="D262" t="str">
        <f t="shared" si="9"/>
        <v>Hyderabad</v>
      </c>
      <c r="E262">
        <v>170.66</v>
      </c>
      <c r="F262" t="s">
        <v>85</v>
      </c>
      <c r="G262">
        <v>38.65</v>
      </c>
    </row>
    <row r="263" spans="1:7">
      <c r="A263" s="1">
        <v>44593</v>
      </c>
      <c r="B263" s="1" t="str">
        <f t="shared" si="8"/>
        <v>Before 5G</v>
      </c>
      <c r="C263">
        <v>411001</v>
      </c>
      <c r="D263" t="str">
        <f t="shared" si="9"/>
        <v>Pune</v>
      </c>
      <c r="E263">
        <v>162.18</v>
      </c>
      <c r="F263" t="s">
        <v>85</v>
      </c>
      <c r="G263">
        <v>33.9</v>
      </c>
    </row>
    <row r="264" spans="1:7">
      <c r="A264" s="1">
        <v>44593</v>
      </c>
      <c r="B264" s="1" t="str">
        <f t="shared" si="8"/>
        <v>Before 5G</v>
      </c>
      <c r="C264">
        <v>380001</v>
      </c>
      <c r="D264" t="str">
        <f t="shared" si="9"/>
        <v>Ahmedabad</v>
      </c>
      <c r="E264">
        <v>126.35</v>
      </c>
      <c r="F264" t="s">
        <v>85</v>
      </c>
      <c r="G264">
        <v>39.9</v>
      </c>
    </row>
    <row r="265" spans="1:7">
      <c r="A265" s="1">
        <v>44593</v>
      </c>
      <c r="B265" s="1" t="str">
        <f t="shared" si="8"/>
        <v>Before 5G</v>
      </c>
      <c r="C265">
        <v>302001</v>
      </c>
      <c r="D265" t="str">
        <f t="shared" si="9"/>
        <v>Jaipur</v>
      </c>
      <c r="E265">
        <v>90.74</v>
      </c>
      <c r="F265" t="s">
        <v>85</v>
      </c>
      <c r="G265">
        <v>33.520000000000003</v>
      </c>
    </row>
    <row r="266" spans="1:7">
      <c r="A266" s="1">
        <v>44593</v>
      </c>
      <c r="B266" s="1" t="str">
        <f t="shared" si="8"/>
        <v>Before 5G</v>
      </c>
      <c r="C266">
        <v>226001</v>
      </c>
      <c r="D266" t="str">
        <f t="shared" si="9"/>
        <v>Lucknow</v>
      </c>
      <c r="E266">
        <v>77.59</v>
      </c>
      <c r="F266" t="s">
        <v>85</v>
      </c>
      <c r="G266">
        <v>36.25</v>
      </c>
    </row>
    <row r="267" spans="1:7">
      <c r="A267" s="1">
        <v>44593</v>
      </c>
      <c r="B267" s="1" t="str">
        <f t="shared" si="8"/>
        <v>Before 5G</v>
      </c>
      <c r="C267">
        <v>800008</v>
      </c>
      <c r="D267" t="str">
        <f t="shared" si="9"/>
        <v>Patna</v>
      </c>
      <c r="E267">
        <v>64.02</v>
      </c>
      <c r="F267" t="s">
        <v>85</v>
      </c>
      <c r="G267">
        <v>31.56</v>
      </c>
    </row>
    <row r="268" spans="1:7">
      <c r="A268" s="1">
        <v>44593</v>
      </c>
      <c r="B268" s="1" t="str">
        <f t="shared" si="8"/>
        <v>Before 5G</v>
      </c>
      <c r="C268">
        <v>641001</v>
      </c>
      <c r="D268" t="str">
        <f t="shared" si="9"/>
        <v>Coimbatore</v>
      </c>
      <c r="E268">
        <v>57.66</v>
      </c>
      <c r="F268" t="s">
        <v>85</v>
      </c>
      <c r="G268">
        <v>33.119999999999997</v>
      </c>
    </row>
    <row r="269" spans="1:7">
      <c r="A269" s="1">
        <v>44593</v>
      </c>
      <c r="B269" s="1" t="str">
        <f t="shared" si="8"/>
        <v>Before 5G</v>
      </c>
      <c r="C269">
        <v>160017</v>
      </c>
      <c r="D269" t="str">
        <f t="shared" si="9"/>
        <v>Chandigarh</v>
      </c>
      <c r="E269">
        <v>41.98</v>
      </c>
      <c r="F269" t="s">
        <v>85</v>
      </c>
      <c r="G269">
        <v>35.369999999999997</v>
      </c>
    </row>
    <row r="270" spans="1:7">
      <c r="A270" s="1">
        <v>44593</v>
      </c>
      <c r="B270" s="1" t="str">
        <f t="shared" si="8"/>
        <v>Before 5G</v>
      </c>
      <c r="C270">
        <v>122001</v>
      </c>
      <c r="D270" t="str">
        <f t="shared" si="9"/>
        <v>Gurgaon</v>
      </c>
      <c r="E270">
        <v>32.01</v>
      </c>
      <c r="F270" t="s">
        <v>85</v>
      </c>
      <c r="G270">
        <v>33.47</v>
      </c>
    </row>
    <row r="271" spans="1:7">
      <c r="A271" s="1">
        <v>44593</v>
      </c>
      <c r="B271" s="1" t="str">
        <f t="shared" si="8"/>
        <v>Before 5G</v>
      </c>
      <c r="C271">
        <v>492001</v>
      </c>
      <c r="D271" t="str">
        <f t="shared" si="9"/>
        <v>Raipur</v>
      </c>
      <c r="E271">
        <v>20.14</v>
      </c>
      <c r="F271" t="s">
        <v>85</v>
      </c>
      <c r="G271">
        <v>35.36</v>
      </c>
    </row>
    <row r="272" spans="1:7">
      <c r="A272" s="1">
        <v>44621</v>
      </c>
      <c r="B272" s="1" t="str">
        <f t="shared" si="8"/>
        <v>Before 5G</v>
      </c>
      <c r="C272">
        <v>400001</v>
      </c>
      <c r="D272" t="str">
        <f t="shared" si="9"/>
        <v>Mumbai</v>
      </c>
      <c r="E272">
        <v>305.81</v>
      </c>
      <c r="F272" t="s">
        <v>85</v>
      </c>
      <c r="G272">
        <v>30.23</v>
      </c>
    </row>
    <row r="273" spans="1:7">
      <c r="A273" s="1">
        <v>44621</v>
      </c>
      <c r="B273" s="1" t="str">
        <f t="shared" si="8"/>
        <v>Before 5G</v>
      </c>
      <c r="C273">
        <v>110001</v>
      </c>
      <c r="D273" t="str">
        <f t="shared" si="9"/>
        <v>Delhi</v>
      </c>
      <c r="E273">
        <v>258.07</v>
      </c>
      <c r="F273" t="s">
        <v>85</v>
      </c>
      <c r="G273">
        <v>33.159999999999997</v>
      </c>
    </row>
    <row r="274" spans="1:7">
      <c r="A274" s="1">
        <v>44621</v>
      </c>
      <c r="B274" s="1" t="str">
        <f t="shared" si="8"/>
        <v>Before 5G</v>
      </c>
      <c r="C274">
        <v>700001</v>
      </c>
      <c r="D274" t="str">
        <f t="shared" si="9"/>
        <v>Kolkata</v>
      </c>
      <c r="E274">
        <v>237.35</v>
      </c>
      <c r="F274" t="s">
        <v>85</v>
      </c>
      <c r="G274">
        <v>35.97</v>
      </c>
    </row>
    <row r="275" spans="1:7">
      <c r="A275" s="1">
        <v>44621</v>
      </c>
      <c r="B275" s="1" t="str">
        <f t="shared" si="8"/>
        <v>Before 5G</v>
      </c>
      <c r="C275">
        <v>560001</v>
      </c>
      <c r="D275" t="str">
        <f t="shared" si="9"/>
        <v>Bangalore</v>
      </c>
      <c r="E275">
        <v>208.74</v>
      </c>
      <c r="F275" t="s">
        <v>85</v>
      </c>
      <c r="G275">
        <v>33.78</v>
      </c>
    </row>
    <row r="276" spans="1:7">
      <c r="A276" s="1">
        <v>44621</v>
      </c>
      <c r="B276" s="1" t="str">
        <f t="shared" si="8"/>
        <v>Before 5G</v>
      </c>
      <c r="C276">
        <v>600001</v>
      </c>
      <c r="D276" t="str">
        <f t="shared" si="9"/>
        <v>Chennai</v>
      </c>
      <c r="E276">
        <v>178.16</v>
      </c>
      <c r="F276" t="s">
        <v>85</v>
      </c>
      <c r="G276">
        <v>39.75</v>
      </c>
    </row>
    <row r="277" spans="1:7">
      <c r="A277" s="1">
        <v>44621</v>
      </c>
      <c r="B277" s="1" t="str">
        <f t="shared" si="8"/>
        <v>Before 5G</v>
      </c>
      <c r="C277">
        <v>500001</v>
      </c>
      <c r="D277" t="str">
        <f t="shared" si="9"/>
        <v>Hyderabad</v>
      </c>
      <c r="E277">
        <v>158.83000000000001</v>
      </c>
      <c r="F277" t="s">
        <v>85</v>
      </c>
      <c r="G277">
        <v>32.130000000000003</v>
      </c>
    </row>
    <row r="278" spans="1:7">
      <c r="A278" s="1">
        <v>44621</v>
      </c>
      <c r="B278" s="1" t="str">
        <f t="shared" si="8"/>
        <v>Before 5G</v>
      </c>
      <c r="C278">
        <v>411001</v>
      </c>
      <c r="D278" t="str">
        <f t="shared" si="9"/>
        <v>Pune</v>
      </c>
      <c r="E278">
        <v>150.93</v>
      </c>
      <c r="F278" t="s">
        <v>85</v>
      </c>
      <c r="G278">
        <v>31.64</v>
      </c>
    </row>
    <row r="279" spans="1:7">
      <c r="A279" s="1">
        <v>44621</v>
      </c>
      <c r="B279" s="1" t="str">
        <f t="shared" si="8"/>
        <v>Before 5G</v>
      </c>
      <c r="C279">
        <v>380001</v>
      </c>
      <c r="D279" t="str">
        <f t="shared" si="9"/>
        <v>Ahmedabad</v>
      </c>
      <c r="E279">
        <v>117.59</v>
      </c>
      <c r="F279" t="s">
        <v>85</v>
      </c>
      <c r="G279">
        <v>37.880000000000003</v>
      </c>
    </row>
    <row r="280" spans="1:7">
      <c r="A280" s="1">
        <v>44621</v>
      </c>
      <c r="B280" s="1" t="str">
        <f t="shared" si="8"/>
        <v>Before 5G</v>
      </c>
      <c r="C280">
        <v>302001</v>
      </c>
      <c r="D280" t="str">
        <f t="shared" si="9"/>
        <v>Jaipur</v>
      </c>
      <c r="E280">
        <v>84.44</v>
      </c>
      <c r="F280" t="s">
        <v>85</v>
      </c>
      <c r="G280">
        <v>36.97</v>
      </c>
    </row>
    <row r="281" spans="1:7">
      <c r="A281" s="1">
        <v>44621</v>
      </c>
      <c r="B281" s="1" t="str">
        <f t="shared" si="8"/>
        <v>Before 5G</v>
      </c>
      <c r="C281">
        <v>226001</v>
      </c>
      <c r="D281" t="str">
        <f t="shared" si="9"/>
        <v>Lucknow</v>
      </c>
      <c r="E281">
        <v>72.209999999999994</v>
      </c>
      <c r="F281" t="s">
        <v>85</v>
      </c>
      <c r="G281">
        <v>37.79</v>
      </c>
    </row>
    <row r="282" spans="1:7">
      <c r="A282" s="1">
        <v>44621</v>
      </c>
      <c r="B282" s="1" t="str">
        <f t="shared" si="8"/>
        <v>Before 5G</v>
      </c>
      <c r="C282">
        <v>800008</v>
      </c>
      <c r="D282" t="str">
        <f t="shared" si="9"/>
        <v>Patna</v>
      </c>
      <c r="E282">
        <v>59.58</v>
      </c>
      <c r="F282" t="s">
        <v>85</v>
      </c>
      <c r="G282">
        <v>39.39</v>
      </c>
    </row>
    <row r="283" spans="1:7">
      <c r="A283" s="1">
        <v>44621</v>
      </c>
      <c r="B283" s="1" t="str">
        <f t="shared" si="8"/>
        <v>Before 5G</v>
      </c>
      <c r="C283">
        <v>641001</v>
      </c>
      <c r="D283" t="str">
        <f t="shared" si="9"/>
        <v>Coimbatore</v>
      </c>
      <c r="E283">
        <v>53.67</v>
      </c>
      <c r="F283" t="s">
        <v>85</v>
      </c>
      <c r="G283">
        <v>32.85</v>
      </c>
    </row>
    <row r="284" spans="1:7">
      <c r="A284" s="1">
        <v>44621</v>
      </c>
      <c r="B284" s="1" t="str">
        <f t="shared" si="8"/>
        <v>Before 5G</v>
      </c>
      <c r="C284">
        <v>160017</v>
      </c>
      <c r="D284" t="str">
        <f t="shared" si="9"/>
        <v>Chandigarh</v>
      </c>
      <c r="E284">
        <v>39.07</v>
      </c>
      <c r="F284" t="s">
        <v>85</v>
      </c>
      <c r="G284">
        <v>35.119999999999997</v>
      </c>
    </row>
    <row r="285" spans="1:7">
      <c r="A285" s="1">
        <v>44621</v>
      </c>
      <c r="B285" s="1" t="str">
        <f t="shared" si="8"/>
        <v>Before 5G</v>
      </c>
      <c r="C285">
        <v>122001</v>
      </c>
      <c r="D285" t="str">
        <f t="shared" si="9"/>
        <v>Gurgaon</v>
      </c>
      <c r="E285">
        <v>29.79</v>
      </c>
      <c r="F285" t="s">
        <v>85</v>
      </c>
      <c r="G285">
        <v>33.909999999999997</v>
      </c>
    </row>
    <row r="286" spans="1:7">
      <c r="A286" s="1">
        <v>44621</v>
      </c>
      <c r="B286" s="1" t="str">
        <f t="shared" si="8"/>
        <v>Before 5G</v>
      </c>
      <c r="C286">
        <v>492001</v>
      </c>
      <c r="D286" t="str">
        <f t="shared" si="9"/>
        <v>Raipur</v>
      </c>
      <c r="E286">
        <v>18.739999999999998</v>
      </c>
      <c r="F286" t="s">
        <v>85</v>
      </c>
      <c r="G286">
        <v>39.01</v>
      </c>
    </row>
    <row r="287" spans="1:7">
      <c r="A287" s="1">
        <v>44652</v>
      </c>
      <c r="B287" s="1" t="str">
        <f t="shared" si="8"/>
        <v>Before 5G</v>
      </c>
      <c r="C287">
        <v>400001</v>
      </c>
      <c r="D287" t="str">
        <f t="shared" si="9"/>
        <v>Mumbai</v>
      </c>
      <c r="E287">
        <v>324.26</v>
      </c>
      <c r="F287" t="s">
        <v>85</v>
      </c>
      <c r="G287">
        <v>32.22</v>
      </c>
    </row>
    <row r="288" spans="1:7">
      <c r="A288" s="1">
        <v>44652</v>
      </c>
      <c r="B288" s="1" t="str">
        <f t="shared" si="8"/>
        <v>Before 5G</v>
      </c>
      <c r="C288">
        <v>110001</v>
      </c>
      <c r="D288" t="str">
        <f t="shared" si="9"/>
        <v>Delhi</v>
      </c>
      <c r="E288">
        <v>273.63</v>
      </c>
      <c r="F288" t="s">
        <v>85</v>
      </c>
      <c r="G288">
        <v>35.81</v>
      </c>
    </row>
    <row r="289" spans="1:7">
      <c r="A289" s="1">
        <v>44652</v>
      </c>
      <c r="B289" s="1" t="str">
        <f t="shared" si="8"/>
        <v>Before 5G</v>
      </c>
      <c r="C289">
        <v>700001</v>
      </c>
      <c r="D289" t="str">
        <f t="shared" si="9"/>
        <v>Kolkata</v>
      </c>
      <c r="E289">
        <v>251.67</v>
      </c>
      <c r="F289" t="s">
        <v>85</v>
      </c>
      <c r="G289">
        <v>38.01</v>
      </c>
    </row>
    <row r="290" spans="1:7">
      <c r="A290" s="1">
        <v>44652</v>
      </c>
      <c r="B290" s="1" t="str">
        <f t="shared" si="8"/>
        <v>Before 5G</v>
      </c>
      <c r="C290">
        <v>560001</v>
      </c>
      <c r="D290" t="str">
        <f t="shared" si="9"/>
        <v>Bangalore</v>
      </c>
      <c r="E290">
        <v>221.33</v>
      </c>
      <c r="F290" t="s">
        <v>85</v>
      </c>
      <c r="G290">
        <v>35.26</v>
      </c>
    </row>
    <row r="291" spans="1:7">
      <c r="A291" s="1">
        <v>44652</v>
      </c>
      <c r="B291" s="1" t="str">
        <f t="shared" si="8"/>
        <v>Before 5G</v>
      </c>
      <c r="C291">
        <v>600001</v>
      </c>
      <c r="D291" t="str">
        <f t="shared" si="9"/>
        <v>Chennai</v>
      </c>
      <c r="E291">
        <v>188.91</v>
      </c>
      <c r="F291" t="s">
        <v>85</v>
      </c>
      <c r="G291">
        <v>33.15</v>
      </c>
    </row>
    <row r="292" spans="1:7">
      <c r="A292" s="1">
        <v>44652</v>
      </c>
      <c r="B292" s="1" t="str">
        <f t="shared" si="8"/>
        <v>Before 5G</v>
      </c>
      <c r="C292">
        <v>500001</v>
      </c>
      <c r="D292" t="str">
        <f t="shared" si="9"/>
        <v>Hyderabad</v>
      </c>
      <c r="E292">
        <v>168.41</v>
      </c>
      <c r="F292" t="s">
        <v>85</v>
      </c>
      <c r="G292">
        <v>36.01</v>
      </c>
    </row>
    <row r="293" spans="1:7">
      <c r="A293" s="1">
        <v>44652</v>
      </c>
      <c r="B293" s="1" t="str">
        <f t="shared" si="8"/>
        <v>Before 5G</v>
      </c>
      <c r="C293">
        <v>411001</v>
      </c>
      <c r="D293" t="str">
        <f t="shared" si="9"/>
        <v>Pune</v>
      </c>
      <c r="E293">
        <v>160.04</v>
      </c>
      <c r="F293" t="s">
        <v>85</v>
      </c>
      <c r="G293">
        <v>37.08</v>
      </c>
    </row>
    <row r="294" spans="1:7">
      <c r="A294" s="1">
        <v>44652</v>
      </c>
      <c r="B294" s="1" t="str">
        <f t="shared" si="8"/>
        <v>Before 5G</v>
      </c>
      <c r="C294">
        <v>380001</v>
      </c>
      <c r="D294" t="str">
        <f t="shared" si="9"/>
        <v>Ahmedabad</v>
      </c>
      <c r="E294">
        <v>124.68</v>
      </c>
      <c r="F294" t="s">
        <v>85</v>
      </c>
      <c r="G294">
        <v>35.130000000000003</v>
      </c>
    </row>
    <row r="295" spans="1:7">
      <c r="A295" s="1">
        <v>44652</v>
      </c>
      <c r="B295" s="1" t="str">
        <f t="shared" si="8"/>
        <v>Before 5G</v>
      </c>
      <c r="C295">
        <v>302001</v>
      </c>
      <c r="D295" t="str">
        <f t="shared" si="9"/>
        <v>Jaipur</v>
      </c>
      <c r="E295">
        <v>89.54</v>
      </c>
      <c r="F295" t="s">
        <v>85</v>
      </c>
      <c r="G295">
        <v>33.229999999999997</v>
      </c>
    </row>
    <row r="296" spans="1:7">
      <c r="A296" s="1">
        <v>44652</v>
      </c>
      <c r="B296" s="1" t="str">
        <f t="shared" si="8"/>
        <v>Before 5G</v>
      </c>
      <c r="C296">
        <v>226001</v>
      </c>
      <c r="D296" t="str">
        <f t="shared" si="9"/>
        <v>Lucknow</v>
      </c>
      <c r="E296">
        <v>76.569999999999993</v>
      </c>
      <c r="F296" t="s">
        <v>85</v>
      </c>
      <c r="G296">
        <v>37.19</v>
      </c>
    </row>
    <row r="297" spans="1:7">
      <c r="A297" s="1">
        <v>44652</v>
      </c>
      <c r="B297" s="1" t="str">
        <f t="shared" si="8"/>
        <v>Before 5G</v>
      </c>
      <c r="C297">
        <v>800008</v>
      </c>
      <c r="D297" t="str">
        <f t="shared" si="9"/>
        <v>Patna</v>
      </c>
      <c r="E297">
        <v>63.18</v>
      </c>
      <c r="F297" t="s">
        <v>85</v>
      </c>
      <c r="G297">
        <v>35.35</v>
      </c>
    </row>
    <row r="298" spans="1:7">
      <c r="A298" s="1">
        <v>44652</v>
      </c>
      <c r="B298" s="1" t="str">
        <f t="shared" si="8"/>
        <v>Before 5G</v>
      </c>
      <c r="C298">
        <v>641001</v>
      </c>
      <c r="D298" t="str">
        <f t="shared" si="9"/>
        <v>Coimbatore</v>
      </c>
      <c r="E298">
        <v>56.9</v>
      </c>
      <c r="F298" t="s">
        <v>85</v>
      </c>
      <c r="G298">
        <v>37.29</v>
      </c>
    </row>
    <row r="299" spans="1:7">
      <c r="A299" s="1">
        <v>44652</v>
      </c>
      <c r="B299" s="1" t="str">
        <f t="shared" si="8"/>
        <v>Before 5G</v>
      </c>
      <c r="C299">
        <v>160017</v>
      </c>
      <c r="D299" t="str">
        <f t="shared" si="9"/>
        <v>Chandigarh</v>
      </c>
      <c r="E299">
        <v>41.42</v>
      </c>
      <c r="F299" t="s">
        <v>85</v>
      </c>
      <c r="G299">
        <v>40.369999999999997</v>
      </c>
    </row>
    <row r="300" spans="1:7">
      <c r="A300" s="1">
        <v>44652</v>
      </c>
      <c r="B300" s="1" t="str">
        <f t="shared" si="8"/>
        <v>Before 5G</v>
      </c>
      <c r="C300">
        <v>122001</v>
      </c>
      <c r="D300" t="str">
        <f t="shared" si="9"/>
        <v>Gurgaon</v>
      </c>
      <c r="E300">
        <v>31.59</v>
      </c>
      <c r="F300" t="s">
        <v>85</v>
      </c>
      <c r="G300">
        <v>36.74</v>
      </c>
    </row>
    <row r="301" spans="1:7">
      <c r="A301" s="1">
        <v>44652</v>
      </c>
      <c r="B301" s="1" t="str">
        <f t="shared" si="8"/>
        <v>Before 5G</v>
      </c>
      <c r="C301">
        <v>492001</v>
      </c>
      <c r="D301" t="str">
        <f t="shared" si="9"/>
        <v>Raipur</v>
      </c>
      <c r="E301">
        <v>19.87</v>
      </c>
      <c r="F301" t="s">
        <v>85</v>
      </c>
      <c r="G301">
        <v>37.270000000000003</v>
      </c>
    </row>
    <row r="302" spans="1:7">
      <c r="A302" s="1">
        <v>44713</v>
      </c>
      <c r="B302" s="1" t="str">
        <f t="shared" si="8"/>
        <v>After 5G</v>
      </c>
      <c r="C302">
        <v>400001</v>
      </c>
      <c r="D302" t="str">
        <f t="shared" si="9"/>
        <v>Mumbai</v>
      </c>
      <c r="E302">
        <v>308</v>
      </c>
      <c r="F302" t="s">
        <v>85</v>
      </c>
      <c r="G302">
        <v>34.409999999999997</v>
      </c>
    </row>
    <row r="303" spans="1:7">
      <c r="A303" s="1">
        <v>44713</v>
      </c>
      <c r="B303" s="1" t="str">
        <f t="shared" si="8"/>
        <v>After 5G</v>
      </c>
      <c r="C303">
        <v>110001</v>
      </c>
      <c r="D303" t="str">
        <f t="shared" si="9"/>
        <v>Delhi</v>
      </c>
      <c r="E303">
        <v>253.61</v>
      </c>
      <c r="F303" t="s">
        <v>85</v>
      </c>
      <c r="G303">
        <v>36.229999999999997</v>
      </c>
    </row>
    <row r="304" spans="1:7">
      <c r="A304" s="1">
        <v>44713</v>
      </c>
      <c r="B304" s="1" t="str">
        <f t="shared" si="8"/>
        <v>After 5G</v>
      </c>
      <c r="C304">
        <v>700001</v>
      </c>
      <c r="D304" t="str">
        <f t="shared" si="9"/>
        <v>Kolkata</v>
      </c>
      <c r="E304">
        <v>235.88</v>
      </c>
      <c r="F304" t="s">
        <v>85</v>
      </c>
      <c r="G304">
        <v>38.549999999999997</v>
      </c>
    </row>
    <row r="305" spans="1:7">
      <c r="A305" s="1">
        <v>44713</v>
      </c>
      <c r="B305" s="1" t="str">
        <f t="shared" si="8"/>
        <v>After 5G</v>
      </c>
      <c r="C305">
        <v>560001</v>
      </c>
      <c r="D305" t="str">
        <f t="shared" si="9"/>
        <v>Bangalore</v>
      </c>
      <c r="E305">
        <v>211.24</v>
      </c>
      <c r="F305" t="s">
        <v>85</v>
      </c>
      <c r="G305">
        <v>33.479999999999997</v>
      </c>
    </row>
    <row r="306" spans="1:7">
      <c r="A306" s="1">
        <v>44713</v>
      </c>
      <c r="B306" s="1" t="str">
        <f t="shared" si="8"/>
        <v>After 5G</v>
      </c>
      <c r="C306">
        <v>600001</v>
      </c>
      <c r="D306" t="str">
        <f t="shared" si="9"/>
        <v>Chennai</v>
      </c>
      <c r="E306">
        <v>174.99</v>
      </c>
      <c r="F306" t="s">
        <v>85</v>
      </c>
      <c r="G306">
        <v>36.33</v>
      </c>
    </row>
    <row r="307" spans="1:7">
      <c r="A307" s="1">
        <v>44713</v>
      </c>
      <c r="B307" s="1" t="str">
        <f t="shared" si="8"/>
        <v>After 5G</v>
      </c>
      <c r="C307">
        <v>500001</v>
      </c>
      <c r="D307" t="str">
        <f t="shared" si="9"/>
        <v>Hyderabad</v>
      </c>
      <c r="E307">
        <v>157.63999999999999</v>
      </c>
      <c r="F307" t="s">
        <v>85</v>
      </c>
      <c r="G307">
        <v>34.549999999999997</v>
      </c>
    </row>
    <row r="308" spans="1:7">
      <c r="A308" s="1">
        <v>44713</v>
      </c>
      <c r="B308" s="1" t="str">
        <f t="shared" si="8"/>
        <v>After 5G</v>
      </c>
      <c r="C308">
        <v>411001</v>
      </c>
      <c r="D308" t="str">
        <f t="shared" si="9"/>
        <v>Pune</v>
      </c>
      <c r="E308">
        <v>152.13</v>
      </c>
      <c r="F308" t="s">
        <v>85</v>
      </c>
      <c r="G308">
        <v>31.69</v>
      </c>
    </row>
    <row r="309" spans="1:7">
      <c r="A309" s="1">
        <v>44713</v>
      </c>
      <c r="B309" s="1" t="str">
        <f t="shared" si="8"/>
        <v>After 5G</v>
      </c>
      <c r="C309">
        <v>380001</v>
      </c>
      <c r="D309" t="str">
        <f t="shared" si="9"/>
        <v>Ahmedabad</v>
      </c>
      <c r="E309">
        <v>115.47</v>
      </c>
      <c r="F309" t="s">
        <v>85</v>
      </c>
      <c r="G309">
        <v>32.479999999999997</v>
      </c>
    </row>
    <row r="310" spans="1:7">
      <c r="A310" s="1">
        <v>44713</v>
      </c>
      <c r="B310" s="1" t="str">
        <f t="shared" si="8"/>
        <v>After 5G</v>
      </c>
      <c r="C310">
        <v>302001</v>
      </c>
      <c r="D310" t="str">
        <f t="shared" si="9"/>
        <v>Jaipur</v>
      </c>
      <c r="E310">
        <v>85.72</v>
      </c>
      <c r="F310" t="s">
        <v>85</v>
      </c>
      <c r="G310">
        <v>35.619999999999997</v>
      </c>
    </row>
    <row r="311" spans="1:7">
      <c r="A311" s="1">
        <v>44713</v>
      </c>
      <c r="B311" s="1" t="str">
        <f t="shared" si="8"/>
        <v>After 5G</v>
      </c>
      <c r="C311">
        <v>226001</v>
      </c>
      <c r="D311" t="str">
        <f t="shared" si="9"/>
        <v>Lucknow</v>
      </c>
      <c r="E311">
        <v>73.7</v>
      </c>
      <c r="F311" t="s">
        <v>85</v>
      </c>
      <c r="G311">
        <v>31.61</v>
      </c>
    </row>
    <row r="312" spans="1:7">
      <c r="A312" s="1">
        <v>44713</v>
      </c>
      <c r="B312" s="1" t="str">
        <f t="shared" si="8"/>
        <v>After 5G</v>
      </c>
      <c r="C312">
        <v>800008</v>
      </c>
      <c r="D312" t="str">
        <f t="shared" si="9"/>
        <v>Patna</v>
      </c>
      <c r="E312">
        <v>60.5</v>
      </c>
      <c r="F312" t="s">
        <v>85</v>
      </c>
      <c r="G312">
        <v>34.75</v>
      </c>
    </row>
    <row r="313" spans="1:7">
      <c r="A313" s="1">
        <v>44713</v>
      </c>
      <c r="B313" s="1" t="str">
        <f t="shared" si="8"/>
        <v>After 5G</v>
      </c>
      <c r="C313">
        <v>641001</v>
      </c>
      <c r="D313" t="str">
        <f t="shared" si="9"/>
        <v>Coimbatore</v>
      </c>
      <c r="E313">
        <v>53.6</v>
      </c>
      <c r="F313" t="s">
        <v>85</v>
      </c>
      <c r="G313">
        <v>37.01</v>
      </c>
    </row>
    <row r="314" spans="1:7">
      <c r="A314" s="1">
        <v>44713</v>
      </c>
      <c r="B314" s="1" t="str">
        <f t="shared" si="8"/>
        <v>After 5G</v>
      </c>
      <c r="C314">
        <v>160017</v>
      </c>
      <c r="D314" t="str">
        <f t="shared" si="9"/>
        <v>Chandigarh</v>
      </c>
      <c r="E314">
        <v>39.020000000000003</v>
      </c>
      <c r="F314" t="s">
        <v>85</v>
      </c>
      <c r="G314">
        <v>32.86</v>
      </c>
    </row>
    <row r="315" spans="1:7">
      <c r="A315" s="1">
        <v>44713</v>
      </c>
      <c r="B315" s="1" t="str">
        <f t="shared" si="8"/>
        <v>After 5G</v>
      </c>
      <c r="C315">
        <v>122001</v>
      </c>
      <c r="D315" t="str">
        <f t="shared" si="9"/>
        <v>Gurgaon</v>
      </c>
      <c r="E315">
        <v>30.35</v>
      </c>
      <c r="F315" t="s">
        <v>85</v>
      </c>
      <c r="G315">
        <v>35.74</v>
      </c>
    </row>
    <row r="316" spans="1:7">
      <c r="A316" s="1">
        <v>44713</v>
      </c>
      <c r="B316" s="1" t="str">
        <f t="shared" si="8"/>
        <v>After 5G</v>
      </c>
      <c r="C316">
        <v>492001</v>
      </c>
      <c r="D316" t="str">
        <f t="shared" si="9"/>
        <v>Raipur</v>
      </c>
      <c r="E316">
        <v>18.920000000000002</v>
      </c>
      <c r="F316" t="s">
        <v>85</v>
      </c>
      <c r="G316">
        <v>37</v>
      </c>
    </row>
    <row r="317" spans="1:7">
      <c r="A317" s="1">
        <v>44743</v>
      </c>
      <c r="B317" s="1" t="str">
        <f t="shared" si="8"/>
        <v>After 5G</v>
      </c>
      <c r="C317">
        <v>400001</v>
      </c>
      <c r="D317" t="str">
        <f t="shared" si="9"/>
        <v>Mumbai</v>
      </c>
      <c r="E317">
        <v>348.85</v>
      </c>
      <c r="F317" t="s">
        <v>85</v>
      </c>
      <c r="G317">
        <v>37.49</v>
      </c>
    </row>
    <row r="318" spans="1:7">
      <c r="A318" s="1">
        <v>44743</v>
      </c>
      <c r="B318" s="1" t="str">
        <f t="shared" si="8"/>
        <v>After 5G</v>
      </c>
      <c r="C318">
        <v>110001</v>
      </c>
      <c r="D318" t="str">
        <f t="shared" si="9"/>
        <v>Delhi</v>
      </c>
      <c r="E318">
        <v>287.25</v>
      </c>
      <c r="F318" t="s">
        <v>85</v>
      </c>
      <c r="G318">
        <v>34.72</v>
      </c>
    </row>
    <row r="319" spans="1:7">
      <c r="A319" s="1">
        <v>44743</v>
      </c>
      <c r="B319" s="1" t="str">
        <f t="shared" si="8"/>
        <v>After 5G</v>
      </c>
      <c r="C319">
        <v>700001</v>
      </c>
      <c r="D319" t="str">
        <f t="shared" si="9"/>
        <v>Kolkata</v>
      </c>
      <c r="E319">
        <v>267.16000000000003</v>
      </c>
      <c r="F319" t="s">
        <v>85</v>
      </c>
      <c r="G319">
        <v>36.53</v>
      </c>
    </row>
    <row r="320" spans="1:7">
      <c r="A320" s="1">
        <v>44743</v>
      </c>
      <c r="B320" s="1" t="str">
        <f t="shared" si="8"/>
        <v>After 5G</v>
      </c>
      <c r="C320">
        <v>560001</v>
      </c>
      <c r="D320" t="str">
        <f t="shared" si="9"/>
        <v>Bangalore</v>
      </c>
      <c r="E320">
        <v>239.26</v>
      </c>
      <c r="F320" t="s">
        <v>85</v>
      </c>
      <c r="G320">
        <v>32.700000000000003</v>
      </c>
    </row>
    <row r="321" spans="1:7">
      <c r="A321" s="1">
        <v>44743</v>
      </c>
      <c r="B321" s="1" t="str">
        <f t="shared" si="8"/>
        <v>After 5G</v>
      </c>
      <c r="C321">
        <v>600001</v>
      </c>
      <c r="D321" t="str">
        <f t="shared" si="9"/>
        <v>Chennai</v>
      </c>
      <c r="E321">
        <v>198.2</v>
      </c>
      <c r="F321" t="s">
        <v>85</v>
      </c>
      <c r="G321">
        <v>32.68</v>
      </c>
    </row>
    <row r="322" spans="1:7">
      <c r="A322" s="1">
        <v>44743</v>
      </c>
      <c r="B322" s="1" t="str">
        <f t="shared" si="8"/>
        <v>After 5G</v>
      </c>
      <c r="C322">
        <v>500001</v>
      </c>
      <c r="D322" t="str">
        <f t="shared" si="9"/>
        <v>Hyderabad</v>
      </c>
      <c r="E322">
        <v>178.56</v>
      </c>
      <c r="F322" t="s">
        <v>85</v>
      </c>
      <c r="G322">
        <v>39.39</v>
      </c>
    </row>
    <row r="323" spans="1:7">
      <c r="A323" s="1">
        <v>44743</v>
      </c>
      <c r="B323" s="1" t="str">
        <f t="shared" ref="B323:B386" si="10">VLOOKUP(A323,$I$2:$K$9,3,FALSE)</f>
        <v>After 5G</v>
      </c>
      <c r="C323">
        <v>411001</v>
      </c>
      <c r="D323" t="str">
        <f t="shared" ref="D323:D386" si="11">VLOOKUP(C323,$O$2:$P$16,2,FALSE)</f>
        <v>Pune</v>
      </c>
      <c r="E323">
        <v>172.31</v>
      </c>
      <c r="F323" t="s">
        <v>85</v>
      </c>
      <c r="G323">
        <v>34.49</v>
      </c>
    </row>
    <row r="324" spans="1:7">
      <c r="A324" s="1">
        <v>44743</v>
      </c>
      <c r="B324" s="1" t="str">
        <f t="shared" si="10"/>
        <v>After 5G</v>
      </c>
      <c r="C324">
        <v>380001</v>
      </c>
      <c r="D324" t="str">
        <f t="shared" si="11"/>
        <v>Ahmedabad</v>
      </c>
      <c r="E324">
        <v>130.79</v>
      </c>
      <c r="F324" t="s">
        <v>85</v>
      </c>
      <c r="G324">
        <v>40.6</v>
      </c>
    </row>
    <row r="325" spans="1:7">
      <c r="A325" s="1">
        <v>44743</v>
      </c>
      <c r="B325" s="1" t="str">
        <f t="shared" si="10"/>
        <v>After 5G</v>
      </c>
      <c r="C325">
        <v>302001</v>
      </c>
      <c r="D325" t="str">
        <f t="shared" si="11"/>
        <v>Jaipur</v>
      </c>
      <c r="E325">
        <v>97.09</v>
      </c>
      <c r="F325" t="s">
        <v>85</v>
      </c>
      <c r="G325">
        <v>34.130000000000003</v>
      </c>
    </row>
    <row r="326" spans="1:7">
      <c r="A326" s="1">
        <v>44743</v>
      </c>
      <c r="B326" s="1" t="str">
        <f t="shared" si="10"/>
        <v>After 5G</v>
      </c>
      <c r="C326">
        <v>226001</v>
      </c>
      <c r="D326" t="str">
        <f t="shared" si="11"/>
        <v>Lucknow</v>
      </c>
      <c r="E326">
        <v>83.47</v>
      </c>
      <c r="F326" t="s">
        <v>85</v>
      </c>
      <c r="G326">
        <v>37.450000000000003</v>
      </c>
    </row>
    <row r="327" spans="1:7">
      <c r="A327" s="1">
        <v>44743</v>
      </c>
      <c r="B327" s="1" t="str">
        <f t="shared" si="10"/>
        <v>After 5G</v>
      </c>
      <c r="C327">
        <v>800008</v>
      </c>
      <c r="D327" t="str">
        <f t="shared" si="11"/>
        <v>Patna</v>
      </c>
      <c r="E327">
        <v>68.52</v>
      </c>
      <c r="F327" t="s">
        <v>85</v>
      </c>
      <c r="G327">
        <v>32.159999999999997</v>
      </c>
    </row>
    <row r="328" spans="1:7">
      <c r="A328" s="1">
        <v>44743</v>
      </c>
      <c r="B328" s="1" t="str">
        <f t="shared" si="10"/>
        <v>After 5G</v>
      </c>
      <c r="C328">
        <v>641001</v>
      </c>
      <c r="D328" t="str">
        <f t="shared" si="11"/>
        <v>Coimbatore</v>
      </c>
      <c r="E328">
        <v>60.71</v>
      </c>
      <c r="F328" t="s">
        <v>85</v>
      </c>
      <c r="G328">
        <v>33.83</v>
      </c>
    </row>
    <row r="329" spans="1:7">
      <c r="A329" s="1">
        <v>44743</v>
      </c>
      <c r="B329" s="1" t="str">
        <f t="shared" si="10"/>
        <v>After 5G</v>
      </c>
      <c r="C329">
        <v>160017</v>
      </c>
      <c r="D329" t="str">
        <f t="shared" si="11"/>
        <v>Chandigarh</v>
      </c>
      <c r="E329">
        <v>44.19</v>
      </c>
      <c r="F329" t="s">
        <v>85</v>
      </c>
      <c r="G329">
        <v>35.9</v>
      </c>
    </row>
    <row r="330" spans="1:7">
      <c r="A330" s="1">
        <v>44743</v>
      </c>
      <c r="B330" s="1" t="str">
        <f t="shared" si="10"/>
        <v>After 5G</v>
      </c>
      <c r="C330">
        <v>122001</v>
      </c>
      <c r="D330" t="str">
        <f t="shared" si="11"/>
        <v>Gurgaon</v>
      </c>
      <c r="E330">
        <v>34.369999999999997</v>
      </c>
      <c r="F330" t="s">
        <v>85</v>
      </c>
      <c r="G330">
        <v>34.54</v>
      </c>
    </row>
    <row r="331" spans="1:7">
      <c r="A331" s="1">
        <v>44743</v>
      </c>
      <c r="B331" s="1" t="str">
        <f t="shared" si="10"/>
        <v>After 5G</v>
      </c>
      <c r="C331">
        <v>492001</v>
      </c>
      <c r="D331" t="str">
        <f t="shared" si="11"/>
        <v>Raipur</v>
      </c>
      <c r="E331">
        <v>21.43</v>
      </c>
      <c r="F331" t="s">
        <v>85</v>
      </c>
      <c r="G331">
        <v>36.04</v>
      </c>
    </row>
    <row r="332" spans="1:7">
      <c r="A332" s="1">
        <v>44774</v>
      </c>
      <c r="B332" s="1" t="str">
        <f t="shared" si="10"/>
        <v>After 5G</v>
      </c>
      <c r="C332">
        <v>400001</v>
      </c>
      <c r="D332" t="str">
        <f t="shared" si="11"/>
        <v>Mumbai</v>
      </c>
      <c r="E332">
        <v>333.45</v>
      </c>
      <c r="F332" t="s">
        <v>85</v>
      </c>
      <c r="G332">
        <v>30.69</v>
      </c>
    </row>
    <row r="333" spans="1:7">
      <c r="A333" s="1">
        <v>44774</v>
      </c>
      <c r="B333" s="1" t="str">
        <f t="shared" si="10"/>
        <v>After 5G</v>
      </c>
      <c r="C333">
        <v>110001</v>
      </c>
      <c r="D333" t="str">
        <f t="shared" si="11"/>
        <v>Delhi</v>
      </c>
      <c r="E333">
        <v>274.57</v>
      </c>
      <c r="F333" t="s">
        <v>85</v>
      </c>
      <c r="G333">
        <v>33.630000000000003</v>
      </c>
    </row>
    <row r="334" spans="1:7">
      <c r="A334" s="1">
        <v>44774</v>
      </c>
      <c r="B334" s="1" t="str">
        <f t="shared" si="10"/>
        <v>After 5G</v>
      </c>
      <c r="C334">
        <v>700001</v>
      </c>
      <c r="D334" t="str">
        <f t="shared" si="11"/>
        <v>Kolkata</v>
      </c>
      <c r="E334">
        <v>255.37</v>
      </c>
      <c r="F334" t="s">
        <v>85</v>
      </c>
      <c r="G334">
        <v>36.64</v>
      </c>
    </row>
    <row r="335" spans="1:7">
      <c r="A335" s="1">
        <v>44774</v>
      </c>
      <c r="B335" s="1" t="str">
        <f t="shared" si="10"/>
        <v>After 5G</v>
      </c>
      <c r="C335">
        <v>560001</v>
      </c>
      <c r="D335" t="str">
        <f t="shared" si="11"/>
        <v>Bangalore</v>
      </c>
      <c r="E335">
        <v>228.7</v>
      </c>
      <c r="F335" t="s">
        <v>85</v>
      </c>
      <c r="G335">
        <v>34.200000000000003</v>
      </c>
    </row>
    <row r="336" spans="1:7">
      <c r="A336" s="1">
        <v>44774</v>
      </c>
      <c r="B336" s="1" t="str">
        <f t="shared" si="10"/>
        <v>After 5G</v>
      </c>
      <c r="C336">
        <v>600001</v>
      </c>
      <c r="D336" t="str">
        <f t="shared" si="11"/>
        <v>Chennai</v>
      </c>
      <c r="E336">
        <v>189.45</v>
      </c>
      <c r="F336" t="s">
        <v>85</v>
      </c>
      <c r="G336">
        <v>40.299999999999997</v>
      </c>
    </row>
    <row r="337" spans="1:7">
      <c r="A337" s="1">
        <v>44774</v>
      </c>
      <c r="B337" s="1" t="str">
        <f t="shared" si="10"/>
        <v>After 5G</v>
      </c>
      <c r="C337">
        <v>500001</v>
      </c>
      <c r="D337" t="str">
        <f t="shared" si="11"/>
        <v>Hyderabad</v>
      </c>
      <c r="E337">
        <v>170.67</v>
      </c>
      <c r="F337" t="s">
        <v>85</v>
      </c>
      <c r="G337">
        <v>32.520000000000003</v>
      </c>
    </row>
    <row r="338" spans="1:7">
      <c r="A338" s="1">
        <v>44774</v>
      </c>
      <c r="B338" s="1" t="str">
        <f t="shared" si="10"/>
        <v>After 5G</v>
      </c>
      <c r="C338">
        <v>411001</v>
      </c>
      <c r="D338" t="str">
        <f t="shared" si="11"/>
        <v>Pune</v>
      </c>
      <c r="E338">
        <v>164.7</v>
      </c>
      <c r="F338" t="s">
        <v>85</v>
      </c>
      <c r="G338">
        <v>32.119999999999997</v>
      </c>
    </row>
    <row r="339" spans="1:7">
      <c r="A339" s="1">
        <v>44774</v>
      </c>
      <c r="B339" s="1" t="str">
        <f t="shared" si="10"/>
        <v>After 5G</v>
      </c>
      <c r="C339">
        <v>380001</v>
      </c>
      <c r="D339" t="str">
        <f t="shared" si="11"/>
        <v>Ahmedabad</v>
      </c>
      <c r="E339">
        <v>125.02</v>
      </c>
      <c r="F339" t="s">
        <v>85</v>
      </c>
      <c r="G339">
        <v>38.5</v>
      </c>
    </row>
    <row r="340" spans="1:7">
      <c r="A340" s="1">
        <v>44774</v>
      </c>
      <c r="B340" s="1" t="str">
        <f t="shared" si="10"/>
        <v>After 5G</v>
      </c>
      <c r="C340">
        <v>302001</v>
      </c>
      <c r="D340" t="str">
        <f t="shared" si="11"/>
        <v>Jaipur</v>
      </c>
      <c r="E340">
        <v>92.8</v>
      </c>
      <c r="F340" t="s">
        <v>85</v>
      </c>
      <c r="G340">
        <v>37.51</v>
      </c>
    </row>
    <row r="341" spans="1:7">
      <c r="A341" s="1">
        <v>44774</v>
      </c>
      <c r="B341" s="1" t="str">
        <f t="shared" si="10"/>
        <v>After 5G</v>
      </c>
      <c r="C341">
        <v>226001</v>
      </c>
      <c r="D341" t="str">
        <f t="shared" si="11"/>
        <v>Lucknow</v>
      </c>
      <c r="E341">
        <v>79.790000000000006</v>
      </c>
      <c r="F341" t="s">
        <v>85</v>
      </c>
      <c r="G341">
        <v>38.28</v>
      </c>
    </row>
    <row r="342" spans="1:7">
      <c r="A342" s="1">
        <v>44774</v>
      </c>
      <c r="B342" s="1" t="str">
        <f t="shared" si="10"/>
        <v>After 5G</v>
      </c>
      <c r="C342">
        <v>800008</v>
      </c>
      <c r="D342" t="str">
        <f t="shared" si="11"/>
        <v>Patna</v>
      </c>
      <c r="E342">
        <v>65.5</v>
      </c>
      <c r="F342" t="s">
        <v>85</v>
      </c>
      <c r="G342">
        <v>39.85</v>
      </c>
    </row>
    <row r="343" spans="1:7">
      <c r="A343" s="1">
        <v>44774</v>
      </c>
      <c r="B343" s="1" t="str">
        <f t="shared" si="10"/>
        <v>After 5G</v>
      </c>
      <c r="C343">
        <v>641001</v>
      </c>
      <c r="D343" t="str">
        <f t="shared" si="11"/>
        <v>Coimbatore</v>
      </c>
      <c r="E343">
        <v>58.03</v>
      </c>
      <c r="F343" t="s">
        <v>85</v>
      </c>
      <c r="G343">
        <v>33.520000000000003</v>
      </c>
    </row>
    <row r="344" spans="1:7">
      <c r="A344" s="1">
        <v>44774</v>
      </c>
      <c r="B344" s="1" t="str">
        <f t="shared" si="10"/>
        <v>After 5G</v>
      </c>
      <c r="C344">
        <v>160017</v>
      </c>
      <c r="D344" t="str">
        <f t="shared" si="11"/>
        <v>Chandigarh</v>
      </c>
      <c r="E344">
        <v>42.24</v>
      </c>
      <c r="F344" t="s">
        <v>85</v>
      </c>
      <c r="G344">
        <v>35.590000000000003</v>
      </c>
    </row>
    <row r="345" spans="1:7">
      <c r="A345" s="1">
        <v>44774</v>
      </c>
      <c r="B345" s="1" t="str">
        <f t="shared" si="10"/>
        <v>After 5G</v>
      </c>
      <c r="C345">
        <v>122001</v>
      </c>
      <c r="D345" t="str">
        <f t="shared" si="11"/>
        <v>Gurgaon</v>
      </c>
      <c r="E345">
        <v>32.85</v>
      </c>
      <c r="F345" t="s">
        <v>85</v>
      </c>
      <c r="G345">
        <v>34.36</v>
      </c>
    </row>
    <row r="346" spans="1:7">
      <c r="A346" s="1">
        <v>44774</v>
      </c>
      <c r="B346" s="1" t="str">
        <f t="shared" si="10"/>
        <v>After 5G</v>
      </c>
      <c r="C346">
        <v>492001</v>
      </c>
      <c r="D346" t="str">
        <f t="shared" si="11"/>
        <v>Raipur</v>
      </c>
      <c r="E346">
        <v>20.48</v>
      </c>
      <c r="F346" t="s">
        <v>85</v>
      </c>
      <c r="G346">
        <v>39.46</v>
      </c>
    </row>
    <row r="347" spans="1:7">
      <c r="A347" s="1">
        <v>44805</v>
      </c>
      <c r="B347" s="1" t="str">
        <f t="shared" si="10"/>
        <v>After 5G</v>
      </c>
      <c r="C347">
        <v>400001</v>
      </c>
      <c r="D347" t="str">
        <f t="shared" si="11"/>
        <v>Mumbai</v>
      </c>
      <c r="E347">
        <v>349.97</v>
      </c>
      <c r="F347" t="s">
        <v>85</v>
      </c>
      <c r="G347">
        <v>32.86</v>
      </c>
    </row>
    <row r="348" spans="1:7">
      <c r="A348" s="1">
        <v>44805</v>
      </c>
      <c r="B348" s="1" t="str">
        <f t="shared" si="10"/>
        <v>After 5G</v>
      </c>
      <c r="C348">
        <v>110001</v>
      </c>
      <c r="D348" t="str">
        <f t="shared" si="11"/>
        <v>Delhi</v>
      </c>
      <c r="E348">
        <v>288.17</v>
      </c>
      <c r="F348" t="s">
        <v>85</v>
      </c>
      <c r="G348">
        <v>36.53</v>
      </c>
    </row>
    <row r="349" spans="1:7">
      <c r="A349" s="1">
        <v>44805</v>
      </c>
      <c r="B349" s="1" t="str">
        <f t="shared" si="10"/>
        <v>After 5G</v>
      </c>
      <c r="C349">
        <v>700001</v>
      </c>
      <c r="D349" t="str">
        <f t="shared" si="11"/>
        <v>Kolkata</v>
      </c>
      <c r="E349">
        <v>268.02</v>
      </c>
      <c r="F349" t="s">
        <v>85</v>
      </c>
      <c r="G349">
        <v>38.729999999999997</v>
      </c>
    </row>
    <row r="350" spans="1:7">
      <c r="A350" s="1">
        <v>44805</v>
      </c>
      <c r="B350" s="1" t="str">
        <f t="shared" si="10"/>
        <v>After 5G</v>
      </c>
      <c r="C350">
        <v>560001</v>
      </c>
      <c r="D350" t="str">
        <f t="shared" si="11"/>
        <v>Bangalore</v>
      </c>
      <c r="E350">
        <v>240.03</v>
      </c>
      <c r="F350" t="s">
        <v>85</v>
      </c>
      <c r="G350">
        <v>35.93</v>
      </c>
    </row>
    <row r="351" spans="1:7">
      <c r="A351" s="1">
        <v>44805</v>
      </c>
      <c r="B351" s="1" t="str">
        <f t="shared" si="10"/>
        <v>After 5G</v>
      </c>
      <c r="C351">
        <v>600001</v>
      </c>
      <c r="D351" t="str">
        <f t="shared" si="11"/>
        <v>Chennai</v>
      </c>
      <c r="E351">
        <v>198.83</v>
      </c>
      <c r="F351" t="s">
        <v>85</v>
      </c>
      <c r="G351">
        <v>33.770000000000003</v>
      </c>
    </row>
    <row r="352" spans="1:7">
      <c r="A352" s="1">
        <v>44805</v>
      </c>
      <c r="B352" s="1" t="str">
        <f t="shared" si="10"/>
        <v>After 5G</v>
      </c>
      <c r="C352">
        <v>500001</v>
      </c>
      <c r="D352" t="str">
        <f t="shared" si="11"/>
        <v>Hyderabad</v>
      </c>
      <c r="E352">
        <v>179.13</v>
      </c>
      <c r="F352" t="s">
        <v>85</v>
      </c>
      <c r="G352">
        <v>36.590000000000003</v>
      </c>
    </row>
    <row r="353" spans="1:7">
      <c r="A353" s="1">
        <v>44805</v>
      </c>
      <c r="B353" s="1" t="str">
        <f t="shared" si="10"/>
        <v>After 5G</v>
      </c>
      <c r="C353">
        <v>411001</v>
      </c>
      <c r="D353" t="str">
        <f t="shared" si="11"/>
        <v>Pune</v>
      </c>
      <c r="E353">
        <v>172.86</v>
      </c>
      <c r="F353" t="s">
        <v>85</v>
      </c>
      <c r="G353">
        <v>38.229999999999997</v>
      </c>
    </row>
    <row r="354" spans="1:7">
      <c r="A354" s="1">
        <v>44805</v>
      </c>
      <c r="B354" s="1" t="str">
        <f t="shared" si="10"/>
        <v>After 5G</v>
      </c>
      <c r="C354">
        <v>380001</v>
      </c>
      <c r="D354" t="str">
        <f t="shared" si="11"/>
        <v>Ahmedabad</v>
      </c>
      <c r="E354">
        <v>131.21</v>
      </c>
      <c r="F354" t="s">
        <v>85</v>
      </c>
      <c r="G354">
        <v>35.840000000000003</v>
      </c>
    </row>
    <row r="355" spans="1:7">
      <c r="A355" s="1">
        <v>44805</v>
      </c>
      <c r="B355" s="1" t="str">
        <f t="shared" si="10"/>
        <v>After 5G</v>
      </c>
      <c r="C355">
        <v>302001</v>
      </c>
      <c r="D355" t="str">
        <f t="shared" si="11"/>
        <v>Jaipur</v>
      </c>
      <c r="E355">
        <v>97.4</v>
      </c>
      <c r="F355" t="s">
        <v>85</v>
      </c>
      <c r="G355">
        <v>33.85</v>
      </c>
    </row>
    <row r="356" spans="1:7">
      <c r="A356" s="1">
        <v>44805</v>
      </c>
      <c r="B356" s="1" t="str">
        <f t="shared" si="10"/>
        <v>After 5G</v>
      </c>
      <c r="C356">
        <v>226001</v>
      </c>
      <c r="D356" t="str">
        <f t="shared" si="11"/>
        <v>Lucknow</v>
      </c>
      <c r="E356">
        <v>83.74</v>
      </c>
      <c r="F356" t="s">
        <v>85</v>
      </c>
      <c r="G356">
        <v>37.85</v>
      </c>
    </row>
    <row r="357" spans="1:7">
      <c r="A357" s="1">
        <v>44805</v>
      </c>
      <c r="B357" s="1" t="str">
        <f t="shared" si="10"/>
        <v>After 5G</v>
      </c>
      <c r="C357">
        <v>800008</v>
      </c>
      <c r="D357" t="str">
        <f t="shared" si="11"/>
        <v>Patna</v>
      </c>
      <c r="E357">
        <v>68.739999999999995</v>
      </c>
      <c r="F357" t="s">
        <v>85</v>
      </c>
      <c r="G357">
        <v>35.979999999999997</v>
      </c>
    </row>
    <row r="358" spans="1:7">
      <c r="A358" s="1">
        <v>44805</v>
      </c>
      <c r="B358" s="1" t="str">
        <f t="shared" si="10"/>
        <v>After 5G</v>
      </c>
      <c r="C358">
        <v>641001</v>
      </c>
      <c r="D358" t="str">
        <f t="shared" si="11"/>
        <v>Coimbatore</v>
      </c>
      <c r="E358">
        <v>60.9</v>
      </c>
      <c r="F358" t="s">
        <v>85</v>
      </c>
      <c r="G358">
        <v>37.880000000000003</v>
      </c>
    </row>
    <row r="359" spans="1:7">
      <c r="A359" s="1">
        <v>44805</v>
      </c>
      <c r="B359" s="1" t="str">
        <f t="shared" si="10"/>
        <v>After 5G</v>
      </c>
      <c r="C359">
        <v>160017</v>
      </c>
      <c r="D359" t="str">
        <f t="shared" si="11"/>
        <v>Chandigarh</v>
      </c>
      <c r="E359">
        <v>44.33</v>
      </c>
      <c r="F359" t="s">
        <v>85</v>
      </c>
      <c r="G359">
        <v>41.46</v>
      </c>
    </row>
    <row r="360" spans="1:7">
      <c r="A360" s="1">
        <v>44805</v>
      </c>
      <c r="B360" s="1" t="str">
        <f t="shared" si="10"/>
        <v>After 5G</v>
      </c>
      <c r="C360">
        <v>122001</v>
      </c>
      <c r="D360" t="str">
        <f t="shared" si="11"/>
        <v>Gurgaon</v>
      </c>
      <c r="E360">
        <v>34.479999999999997</v>
      </c>
      <c r="F360" t="s">
        <v>85</v>
      </c>
      <c r="G360">
        <v>37.46</v>
      </c>
    </row>
    <row r="361" spans="1:7">
      <c r="A361" s="1">
        <v>44805</v>
      </c>
      <c r="B361" s="1" t="str">
        <f t="shared" si="10"/>
        <v>After 5G</v>
      </c>
      <c r="C361">
        <v>492001</v>
      </c>
      <c r="D361" t="str">
        <f t="shared" si="11"/>
        <v>Raipur</v>
      </c>
      <c r="E361">
        <v>21.5</v>
      </c>
      <c r="F361" t="s">
        <v>85</v>
      </c>
      <c r="G361">
        <v>37.92</v>
      </c>
    </row>
    <row r="362" spans="1:7">
      <c r="A362" s="1">
        <v>44562</v>
      </c>
      <c r="B362" s="1" t="str">
        <f t="shared" si="10"/>
        <v>Before 5G</v>
      </c>
      <c r="C362">
        <v>400001</v>
      </c>
      <c r="D362" t="str">
        <f t="shared" si="11"/>
        <v>Mumbai</v>
      </c>
      <c r="E362">
        <v>286.29000000000002</v>
      </c>
      <c r="F362" t="s">
        <v>86</v>
      </c>
      <c r="G362">
        <v>11.87</v>
      </c>
    </row>
    <row r="363" spans="1:7">
      <c r="A363" s="1">
        <v>44562</v>
      </c>
      <c r="B363" s="1" t="str">
        <f t="shared" si="10"/>
        <v>Before 5G</v>
      </c>
      <c r="C363">
        <v>110001</v>
      </c>
      <c r="D363" t="str">
        <f t="shared" si="11"/>
        <v>Delhi</v>
      </c>
      <c r="E363">
        <v>241.59</v>
      </c>
      <c r="F363" t="s">
        <v>86</v>
      </c>
      <c r="G363">
        <v>10.64</v>
      </c>
    </row>
    <row r="364" spans="1:7">
      <c r="A364" s="1">
        <v>44562</v>
      </c>
      <c r="B364" s="1" t="str">
        <f t="shared" si="10"/>
        <v>Before 5G</v>
      </c>
      <c r="C364">
        <v>700001</v>
      </c>
      <c r="D364" t="str">
        <f t="shared" si="11"/>
        <v>Kolkata</v>
      </c>
      <c r="E364">
        <v>222.19</v>
      </c>
      <c r="F364" t="s">
        <v>86</v>
      </c>
      <c r="G364">
        <v>9.5299999999999994</v>
      </c>
    </row>
    <row r="365" spans="1:7">
      <c r="A365" s="1">
        <v>44562</v>
      </c>
      <c r="B365" s="1" t="str">
        <f t="shared" si="10"/>
        <v>Before 5G</v>
      </c>
      <c r="C365">
        <v>560001</v>
      </c>
      <c r="D365" t="str">
        <f t="shared" si="11"/>
        <v>Bangalore</v>
      </c>
      <c r="E365">
        <v>195.41</v>
      </c>
      <c r="F365" t="s">
        <v>86</v>
      </c>
      <c r="G365">
        <v>8.42</v>
      </c>
    </row>
    <row r="366" spans="1:7">
      <c r="A366" s="1">
        <v>44562</v>
      </c>
      <c r="B366" s="1" t="str">
        <f t="shared" si="10"/>
        <v>Before 5G</v>
      </c>
      <c r="C366">
        <v>600001</v>
      </c>
      <c r="D366" t="str">
        <f t="shared" si="11"/>
        <v>Chennai</v>
      </c>
      <c r="E366">
        <v>166.78</v>
      </c>
      <c r="F366" t="s">
        <v>86</v>
      </c>
      <c r="G366">
        <v>7.17</v>
      </c>
    </row>
    <row r="367" spans="1:7">
      <c r="A367" s="1">
        <v>44562</v>
      </c>
      <c r="B367" s="1" t="str">
        <f t="shared" si="10"/>
        <v>Before 5G</v>
      </c>
      <c r="C367">
        <v>500001</v>
      </c>
      <c r="D367" t="str">
        <f t="shared" si="11"/>
        <v>Hyderabad</v>
      </c>
      <c r="E367">
        <v>148.68</v>
      </c>
      <c r="F367" t="s">
        <v>86</v>
      </c>
      <c r="G367">
        <v>8.67</v>
      </c>
    </row>
    <row r="368" spans="1:7">
      <c r="A368" s="1">
        <v>44562</v>
      </c>
      <c r="B368" s="1" t="str">
        <f t="shared" si="10"/>
        <v>Before 5G</v>
      </c>
      <c r="C368">
        <v>411001</v>
      </c>
      <c r="D368" t="str">
        <f t="shared" si="11"/>
        <v>Pune</v>
      </c>
      <c r="E368">
        <v>141.30000000000001</v>
      </c>
      <c r="F368" t="s">
        <v>86</v>
      </c>
      <c r="G368">
        <v>8.76</v>
      </c>
    </row>
    <row r="369" spans="1:7">
      <c r="A369" s="1">
        <v>44562</v>
      </c>
      <c r="B369" s="1" t="str">
        <f t="shared" si="10"/>
        <v>Before 5G</v>
      </c>
      <c r="C369">
        <v>380001</v>
      </c>
      <c r="D369" t="str">
        <f t="shared" si="11"/>
        <v>Ahmedabad</v>
      </c>
      <c r="E369">
        <v>110.08</v>
      </c>
      <c r="F369" t="s">
        <v>86</v>
      </c>
      <c r="G369">
        <v>11.88</v>
      </c>
    </row>
    <row r="370" spans="1:7">
      <c r="A370" s="1">
        <v>44562</v>
      </c>
      <c r="B370" s="1" t="str">
        <f t="shared" si="10"/>
        <v>Before 5G</v>
      </c>
      <c r="C370">
        <v>302001</v>
      </c>
      <c r="D370" t="str">
        <f t="shared" si="11"/>
        <v>Jaipur</v>
      </c>
      <c r="E370">
        <v>79.05</v>
      </c>
      <c r="F370" t="s">
        <v>86</v>
      </c>
      <c r="G370">
        <v>12.19</v>
      </c>
    </row>
    <row r="371" spans="1:7">
      <c r="A371" s="1">
        <v>44562</v>
      </c>
      <c r="B371" s="1" t="str">
        <f t="shared" si="10"/>
        <v>Before 5G</v>
      </c>
      <c r="C371">
        <v>226001</v>
      </c>
      <c r="D371" t="str">
        <f t="shared" si="11"/>
        <v>Lucknow</v>
      </c>
      <c r="E371">
        <v>67.599999999999994</v>
      </c>
      <c r="F371" t="s">
        <v>86</v>
      </c>
      <c r="G371">
        <v>13.12</v>
      </c>
    </row>
    <row r="372" spans="1:7">
      <c r="A372" s="1">
        <v>44562</v>
      </c>
      <c r="B372" s="1" t="str">
        <f t="shared" si="10"/>
        <v>Before 5G</v>
      </c>
      <c r="C372">
        <v>800008</v>
      </c>
      <c r="D372" t="str">
        <f t="shared" si="11"/>
        <v>Patna</v>
      </c>
      <c r="E372">
        <v>55.78</v>
      </c>
      <c r="F372" t="s">
        <v>86</v>
      </c>
      <c r="G372">
        <v>12.14</v>
      </c>
    </row>
    <row r="373" spans="1:7">
      <c r="A373" s="1">
        <v>44562</v>
      </c>
      <c r="B373" s="1" t="str">
        <f t="shared" si="10"/>
        <v>Before 5G</v>
      </c>
      <c r="C373">
        <v>641001</v>
      </c>
      <c r="D373" t="str">
        <f t="shared" si="11"/>
        <v>Coimbatore</v>
      </c>
      <c r="E373">
        <v>50.24</v>
      </c>
      <c r="F373" t="s">
        <v>86</v>
      </c>
      <c r="G373">
        <v>8.24</v>
      </c>
    </row>
    <row r="374" spans="1:7">
      <c r="A374" s="1">
        <v>44562</v>
      </c>
      <c r="B374" s="1" t="str">
        <f t="shared" si="10"/>
        <v>Before 5G</v>
      </c>
      <c r="C374">
        <v>160017</v>
      </c>
      <c r="D374" t="str">
        <f t="shared" si="11"/>
        <v>Chandigarh</v>
      </c>
      <c r="E374">
        <v>36.57</v>
      </c>
      <c r="F374" t="s">
        <v>86</v>
      </c>
      <c r="G374">
        <v>8.3699999999999992</v>
      </c>
    </row>
    <row r="375" spans="1:7">
      <c r="A375" s="1">
        <v>44562</v>
      </c>
      <c r="B375" s="1" t="str">
        <f t="shared" si="10"/>
        <v>Before 5G</v>
      </c>
      <c r="C375">
        <v>122001</v>
      </c>
      <c r="D375" t="str">
        <f t="shared" si="11"/>
        <v>Gurgaon</v>
      </c>
      <c r="E375">
        <v>27.89</v>
      </c>
      <c r="F375" t="s">
        <v>86</v>
      </c>
      <c r="G375">
        <v>10.220000000000001</v>
      </c>
    </row>
    <row r="376" spans="1:7">
      <c r="A376" s="1">
        <v>44562</v>
      </c>
      <c r="B376" s="1" t="str">
        <f t="shared" si="10"/>
        <v>Before 5G</v>
      </c>
      <c r="C376">
        <v>492001</v>
      </c>
      <c r="D376" t="str">
        <f t="shared" si="11"/>
        <v>Raipur</v>
      </c>
      <c r="E376">
        <v>17.55</v>
      </c>
      <c r="F376" t="s">
        <v>86</v>
      </c>
      <c r="G376">
        <v>12.36</v>
      </c>
    </row>
    <row r="377" spans="1:7">
      <c r="A377" s="1">
        <v>44593</v>
      </c>
      <c r="B377" s="1" t="str">
        <f t="shared" si="10"/>
        <v>Before 5G</v>
      </c>
      <c r="C377">
        <v>400001</v>
      </c>
      <c r="D377" t="str">
        <f t="shared" si="11"/>
        <v>Mumbai</v>
      </c>
      <c r="E377">
        <v>328.6</v>
      </c>
      <c r="F377" t="s">
        <v>86</v>
      </c>
      <c r="G377">
        <v>11.47</v>
      </c>
    </row>
    <row r="378" spans="1:7">
      <c r="A378" s="1">
        <v>44593</v>
      </c>
      <c r="B378" s="1" t="str">
        <f t="shared" si="10"/>
        <v>Before 5G</v>
      </c>
      <c r="C378">
        <v>110001</v>
      </c>
      <c r="D378" t="str">
        <f t="shared" si="11"/>
        <v>Delhi</v>
      </c>
      <c r="E378">
        <v>277.3</v>
      </c>
      <c r="F378" t="s">
        <v>86</v>
      </c>
      <c r="G378">
        <v>8.9</v>
      </c>
    </row>
    <row r="379" spans="1:7">
      <c r="A379" s="1">
        <v>44593</v>
      </c>
      <c r="B379" s="1" t="str">
        <f t="shared" si="10"/>
        <v>Before 5G</v>
      </c>
      <c r="C379">
        <v>700001</v>
      </c>
      <c r="D379" t="str">
        <f t="shared" si="11"/>
        <v>Kolkata</v>
      </c>
      <c r="E379">
        <v>255.04</v>
      </c>
      <c r="F379" t="s">
        <v>86</v>
      </c>
      <c r="G379">
        <v>9.77</v>
      </c>
    </row>
    <row r="380" spans="1:7">
      <c r="A380" s="1">
        <v>44593</v>
      </c>
      <c r="B380" s="1" t="str">
        <f t="shared" si="10"/>
        <v>Before 5G</v>
      </c>
      <c r="C380">
        <v>560001</v>
      </c>
      <c r="D380" t="str">
        <f t="shared" si="11"/>
        <v>Bangalore</v>
      </c>
      <c r="E380">
        <v>224.3</v>
      </c>
      <c r="F380" t="s">
        <v>86</v>
      </c>
      <c r="G380">
        <v>9.27</v>
      </c>
    </row>
    <row r="381" spans="1:7">
      <c r="A381" s="1">
        <v>44593</v>
      </c>
      <c r="B381" s="1" t="str">
        <f t="shared" si="10"/>
        <v>Before 5G</v>
      </c>
      <c r="C381">
        <v>600001</v>
      </c>
      <c r="D381" t="str">
        <f t="shared" si="11"/>
        <v>Chennai</v>
      </c>
      <c r="E381">
        <v>191.44</v>
      </c>
      <c r="F381" t="s">
        <v>86</v>
      </c>
      <c r="G381">
        <v>9.4</v>
      </c>
    </row>
    <row r="382" spans="1:7">
      <c r="A382" s="1">
        <v>44593</v>
      </c>
      <c r="B382" s="1" t="str">
        <f t="shared" si="10"/>
        <v>Before 5G</v>
      </c>
      <c r="C382">
        <v>500001</v>
      </c>
      <c r="D382" t="str">
        <f t="shared" si="11"/>
        <v>Hyderabad</v>
      </c>
      <c r="E382">
        <v>170.66</v>
      </c>
      <c r="F382" t="s">
        <v>86</v>
      </c>
      <c r="G382">
        <v>11.52</v>
      </c>
    </row>
    <row r="383" spans="1:7">
      <c r="A383" s="1">
        <v>44593</v>
      </c>
      <c r="B383" s="1" t="str">
        <f t="shared" si="10"/>
        <v>Before 5G</v>
      </c>
      <c r="C383">
        <v>411001</v>
      </c>
      <c r="D383" t="str">
        <f t="shared" si="11"/>
        <v>Pune</v>
      </c>
      <c r="E383">
        <v>162.18</v>
      </c>
      <c r="F383" t="s">
        <v>86</v>
      </c>
      <c r="G383">
        <v>8.39</v>
      </c>
    </row>
    <row r="384" spans="1:7">
      <c r="A384" s="1">
        <v>44593</v>
      </c>
      <c r="B384" s="1" t="str">
        <f t="shared" si="10"/>
        <v>Before 5G</v>
      </c>
      <c r="C384">
        <v>380001</v>
      </c>
      <c r="D384" t="str">
        <f t="shared" si="11"/>
        <v>Ahmedabad</v>
      </c>
      <c r="E384">
        <v>126.35</v>
      </c>
      <c r="F384" t="s">
        <v>86</v>
      </c>
      <c r="G384">
        <v>8.48</v>
      </c>
    </row>
    <row r="385" spans="1:7">
      <c r="A385" s="1">
        <v>44593</v>
      </c>
      <c r="B385" s="1" t="str">
        <f t="shared" si="10"/>
        <v>Before 5G</v>
      </c>
      <c r="C385">
        <v>302001</v>
      </c>
      <c r="D385" t="str">
        <f t="shared" si="11"/>
        <v>Jaipur</v>
      </c>
      <c r="E385">
        <v>90.74</v>
      </c>
      <c r="F385" t="s">
        <v>86</v>
      </c>
      <c r="G385">
        <v>11.18</v>
      </c>
    </row>
    <row r="386" spans="1:7">
      <c r="A386" s="1">
        <v>44593</v>
      </c>
      <c r="B386" s="1" t="str">
        <f t="shared" si="10"/>
        <v>Before 5G</v>
      </c>
      <c r="C386">
        <v>226001</v>
      </c>
      <c r="D386" t="str">
        <f t="shared" si="11"/>
        <v>Lucknow</v>
      </c>
      <c r="E386">
        <v>77.59</v>
      </c>
      <c r="F386" t="s">
        <v>86</v>
      </c>
      <c r="G386">
        <v>8.94</v>
      </c>
    </row>
    <row r="387" spans="1:7">
      <c r="A387" s="1">
        <v>44593</v>
      </c>
      <c r="B387" s="1" t="str">
        <f t="shared" ref="B387:B450" si="12">VLOOKUP(A387,$I$2:$K$9,3,FALSE)</f>
        <v>Before 5G</v>
      </c>
      <c r="C387">
        <v>800008</v>
      </c>
      <c r="D387" t="str">
        <f t="shared" ref="D387:D450" si="13">VLOOKUP(C387,$O$2:$P$16,2,FALSE)</f>
        <v>Patna</v>
      </c>
      <c r="E387">
        <v>64.02</v>
      </c>
      <c r="F387" t="s">
        <v>86</v>
      </c>
      <c r="G387">
        <v>10.87</v>
      </c>
    </row>
    <row r="388" spans="1:7">
      <c r="A388" s="1">
        <v>44593</v>
      </c>
      <c r="B388" s="1" t="str">
        <f t="shared" si="12"/>
        <v>Before 5G</v>
      </c>
      <c r="C388">
        <v>641001</v>
      </c>
      <c r="D388" t="str">
        <f t="shared" si="13"/>
        <v>Coimbatore</v>
      </c>
      <c r="E388">
        <v>57.66</v>
      </c>
      <c r="F388" t="s">
        <v>86</v>
      </c>
      <c r="G388">
        <v>9.68</v>
      </c>
    </row>
    <row r="389" spans="1:7">
      <c r="A389" s="1">
        <v>44593</v>
      </c>
      <c r="B389" s="1" t="str">
        <f t="shared" si="12"/>
        <v>Before 5G</v>
      </c>
      <c r="C389">
        <v>160017</v>
      </c>
      <c r="D389" t="str">
        <f t="shared" si="13"/>
        <v>Chandigarh</v>
      </c>
      <c r="E389">
        <v>41.98</v>
      </c>
      <c r="F389" t="s">
        <v>86</v>
      </c>
      <c r="G389">
        <v>11.25</v>
      </c>
    </row>
    <row r="390" spans="1:7">
      <c r="A390" s="1">
        <v>44593</v>
      </c>
      <c r="B390" s="1" t="str">
        <f t="shared" si="12"/>
        <v>Before 5G</v>
      </c>
      <c r="C390">
        <v>122001</v>
      </c>
      <c r="D390" t="str">
        <f t="shared" si="13"/>
        <v>Gurgaon</v>
      </c>
      <c r="E390">
        <v>32.01</v>
      </c>
      <c r="F390" t="s">
        <v>86</v>
      </c>
      <c r="G390">
        <v>8.69</v>
      </c>
    </row>
    <row r="391" spans="1:7">
      <c r="A391" s="1">
        <v>44593</v>
      </c>
      <c r="B391" s="1" t="str">
        <f t="shared" si="12"/>
        <v>Before 5G</v>
      </c>
      <c r="C391">
        <v>492001</v>
      </c>
      <c r="D391" t="str">
        <f t="shared" si="13"/>
        <v>Raipur</v>
      </c>
      <c r="E391">
        <v>20.14</v>
      </c>
      <c r="F391" t="s">
        <v>86</v>
      </c>
      <c r="G391">
        <v>10.25</v>
      </c>
    </row>
    <row r="392" spans="1:7">
      <c r="A392" s="1">
        <v>44621</v>
      </c>
      <c r="B392" s="1" t="str">
        <f t="shared" si="12"/>
        <v>Before 5G</v>
      </c>
      <c r="C392">
        <v>400001</v>
      </c>
      <c r="D392" t="str">
        <f t="shared" si="13"/>
        <v>Mumbai</v>
      </c>
      <c r="E392">
        <v>305.81</v>
      </c>
      <c r="F392" t="s">
        <v>86</v>
      </c>
      <c r="G392">
        <v>11.66</v>
      </c>
    </row>
    <row r="393" spans="1:7">
      <c r="A393" s="1">
        <v>44621</v>
      </c>
      <c r="B393" s="1" t="str">
        <f t="shared" si="12"/>
        <v>Before 5G</v>
      </c>
      <c r="C393">
        <v>110001</v>
      </c>
      <c r="D393" t="str">
        <f t="shared" si="13"/>
        <v>Delhi</v>
      </c>
      <c r="E393">
        <v>258.07</v>
      </c>
      <c r="F393" t="s">
        <v>86</v>
      </c>
      <c r="G393">
        <v>7.72</v>
      </c>
    </row>
    <row r="394" spans="1:7">
      <c r="A394" s="1">
        <v>44621</v>
      </c>
      <c r="B394" s="1" t="str">
        <f t="shared" si="12"/>
        <v>Before 5G</v>
      </c>
      <c r="C394">
        <v>700001</v>
      </c>
      <c r="D394" t="str">
        <f t="shared" si="13"/>
        <v>Kolkata</v>
      </c>
      <c r="E394">
        <v>237.35</v>
      </c>
      <c r="F394" t="s">
        <v>86</v>
      </c>
      <c r="G394">
        <v>8.8800000000000008</v>
      </c>
    </row>
    <row r="395" spans="1:7">
      <c r="A395" s="1">
        <v>44621</v>
      </c>
      <c r="B395" s="1" t="str">
        <f t="shared" si="12"/>
        <v>Before 5G</v>
      </c>
      <c r="C395">
        <v>560001</v>
      </c>
      <c r="D395" t="str">
        <f t="shared" si="13"/>
        <v>Bangalore</v>
      </c>
      <c r="E395">
        <v>208.74</v>
      </c>
      <c r="F395" t="s">
        <v>86</v>
      </c>
      <c r="G395">
        <v>11.17</v>
      </c>
    </row>
    <row r="396" spans="1:7">
      <c r="A396" s="1">
        <v>44621</v>
      </c>
      <c r="B396" s="1" t="str">
        <f t="shared" si="12"/>
        <v>Before 5G</v>
      </c>
      <c r="C396">
        <v>600001</v>
      </c>
      <c r="D396" t="str">
        <f t="shared" si="13"/>
        <v>Chennai</v>
      </c>
      <c r="E396">
        <v>178.16</v>
      </c>
      <c r="F396" t="s">
        <v>86</v>
      </c>
      <c r="G396">
        <v>12.83</v>
      </c>
    </row>
    <row r="397" spans="1:7">
      <c r="A397" s="1">
        <v>44621</v>
      </c>
      <c r="B397" s="1" t="str">
        <f t="shared" si="12"/>
        <v>Before 5G</v>
      </c>
      <c r="C397">
        <v>500001</v>
      </c>
      <c r="D397" t="str">
        <f t="shared" si="13"/>
        <v>Hyderabad</v>
      </c>
      <c r="E397">
        <v>158.83000000000001</v>
      </c>
      <c r="F397" t="s">
        <v>86</v>
      </c>
      <c r="G397">
        <v>11.53</v>
      </c>
    </row>
    <row r="398" spans="1:7">
      <c r="A398" s="1">
        <v>44621</v>
      </c>
      <c r="B398" s="1" t="str">
        <f t="shared" si="12"/>
        <v>Before 5G</v>
      </c>
      <c r="C398">
        <v>411001</v>
      </c>
      <c r="D398" t="str">
        <f t="shared" si="13"/>
        <v>Pune</v>
      </c>
      <c r="E398">
        <v>150.93</v>
      </c>
      <c r="F398" t="s">
        <v>86</v>
      </c>
      <c r="G398">
        <v>12.37</v>
      </c>
    </row>
    <row r="399" spans="1:7">
      <c r="A399" s="1">
        <v>44621</v>
      </c>
      <c r="B399" s="1" t="str">
        <f t="shared" si="12"/>
        <v>Before 5G</v>
      </c>
      <c r="C399">
        <v>380001</v>
      </c>
      <c r="D399" t="str">
        <f t="shared" si="13"/>
        <v>Ahmedabad</v>
      </c>
      <c r="E399">
        <v>117.59</v>
      </c>
      <c r="F399" t="s">
        <v>86</v>
      </c>
      <c r="G399">
        <v>10.09</v>
      </c>
    </row>
    <row r="400" spans="1:7">
      <c r="A400" s="1">
        <v>44621</v>
      </c>
      <c r="B400" s="1" t="str">
        <f t="shared" si="12"/>
        <v>Before 5G</v>
      </c>
      <c r="C400">
        <v>302001</v>
      </c>
      <c r="D400" t="str">
        <f t="shared" si="13"/>
        <v>Jaipur</v>
      </c>
      <c r="E400">
        <v>84.44</v>
      </c>
      <c r="F400" t="s">
        <v>86</v>
      </c>
      <c r="G400">
        <v>10.65</v>
      </c>
    </row>
    <row r="401" spans="1:7">
      <c r="A401" s="1">
        <v>44621</v>
      </c>
      <c r="B401" s="1" t="str">
        <f t="shared" si="12"/>
        <v>Before 5G</v>
      </c>
      <c r="C401">
        <v>226001</v>
      </c>
      <c r="D401" t="str">
        <f t="shared" si="13"/>
        <v>Lucknow</v>
      </c>
      <c r="E401">
        <v>72.209999999999994</v>
      </c>
      <c r="F401" t="s">
        <v>86</v>
      </c>
      <c r="G401">
        <v>8.6999999999999993</v>
      </c>
    </row>
    <row r="402" spans="1:7">
      <c r="A402" s="1">
        <v>44621</v>
      </c>
      <c r="B402" s="1" t="str">
        <f t="shared" si="12"/>
        <v>Before 5G</v>
      </c>
      <c r="C402">
        <v>800008</v>
      </c>
      <c r="D402" t="str">
        <f t="shared" si="13"/>
        <v>Patna</v>
      </c>
      <c r="E402">
        <v>59.58</v>
      </c>
      <c r="F402" t="s">
        <v>86</v>
      </c>
      <c r="G402">
        <v>10.49</v>
      </c>
    </row>
    <row r="403" spans="1:7">
      <c r="A403" s="1">
        <v>44621</v>
      </c>
      <c r="B403" s="1" t="str">
        <f t="shared" si="12"/>
        <v>Before 5G</v>
      </c>
      <c r="C403">
        <v>641001</v>
      </c>
      <c r="D403" t="str">
        <f t="shared" si="13"/>
        <v>Coimbatore</v>
      </c>
      <c r="E403">
        <v>53.67</v>
      </c>
      <c r="F403" t="s">
        <v>86</v>
      </c>
      <c r="G403">
        <v>8.2200000000000006</v>
      </c>
    </row>
    <row r="404" spans="1:7">
      <c r="A404" s="1">
        <v>44621</v>
      </c>
      <c r="B404" s="1" t="str">
        <f t="shared" si="12"/>
        <v>Before 5G</v>
      </c>
      <c r="C404">
        <v>160017</v>
      </c>
      <c r="D404" t="str">
        <f t="shared" si="13"/>
        <v>Chandigarh</v>
      </c>
      <c r="E404">
        <v>39.07</v>
      </c>
      <c r="F404" t="s">
        <v>86</v>
      </c>
      <c r="G404">
        <v>10.5</v>
      </c>
    </row>
    <row r="405" spans="1:7">
      <c r="A405" s="1">
        <v>44621</v>
      </c>
      <c r="B405" s="1" t="str">
        <f t="shared" si="12"/>
        <v>Before 5G</v>
      </c>
      <c r="C405">
        <v>122001</v>
      </c>
      <c r="D405" t="str">
        <f t="shared" si="13"/>
        <v>Gurgaon</v>
      </c>
      <c r="E405">
        <v>29.79</v>
      </c>
      <c r="F405" t="s">
        <v>86</v>
      </c>
      <c r="G405">
        <v>8.08</v>
      </c>
    </row>
    <row r="406" spans="1:7">
      <c r="A406" s="1">
        <v>44621</v>
      </c>
      <c r="B406" s="1" t="str">
        <f t="shared" si="12"/>
        <v>Before 5G</v>
      </c>
      <c r="C406">
        <v>492001</v>
      </c>
      <c r="D406" t="str">
        <f t="shared" si="13"/>
        <v>Raipur</v>
      </c>
      <c r="E406">
        <v>18.739999999999998</v>
      </c>
      <c r="F406" t="s">
        <v>86</v>
      </c>
      <c r="G406">
        <v>9.49</v>
      </c>
    </row>
    <row r="407" spans="1:7">
      <c r="A407" s="1">
        <v>44652</v>
      </c>
      <c r="B407" s="1" t="str">
        <f t="shared" si="12"/>
        <v>Before 5G</v>
      </c>
      <c r="C407">
        <v>400001</v>
      </c>
      <c r="D407" t="str">
        <f t="shared" si="13"/>
        <v>Mumbai</v>
      </c>
      <c r="E407">
        <v>324.26</v>
      </c>
      <c r="F407" t="s">
        <v>86</v>
      </c>
      <c r="G407">
        <v>12.18</v>
      </c>
    </row>
    <row r="408" spans="1:7">
      <c r="A408" s="1">
        <v>44652</v>
      </c>
      <c r="B408" s="1" t="str">
        <f t="shared" si="12"/>
        <v>Before 5G</v>
      </c>
      <c r="C408">
        <v>110001</v>
      </c>
      <c r="D408" t="str">
        <f t="shared" si="13"/>
        <v>Delhi</v>
      </c>
      <c r="E408">
        <v>273.63</v>
      </c>
      <c r="F408" t="s">
        <v>86</v>
      </c>
      <c r="G408">
        <v>9.4600000000000009</v>
      </c>
    </row>
    <row r="409" spans="1:7">
      <c r="A409" s="1">
        <v>44652</v>
      </c>
      <c r="B409" s="1" t="str">
        <f t="shared" si="12"/>
        <v>Before 5G</v>
      </c>
      <c r="C409">
        <v>700001</v>
      </c>
      <c r="D409" t="str">
        <f t="shared" si="13"/>
        <v>Kolkata</v>
      </c>
      <c r="E409">
        <v>251.67</v>
      </c>
      <c r="F409" t="s">
        <v>86</v>
      </c>
      <c r="G409">
        <v>9.18</v>
      </c>
    </row>
    <row r="410" spans="1:7">
      <c r="A410" s="1">
        <v>44652</v>
      </c>
      <c r="B410" s="1" t="str">
        <f t="shared" si="12"/>
        <v>Before 5G</v>
      </c>
      <c r="C410">
        <v>560001</v>
      </c>
      <c r="D410" t="str">
        <f t="shared" si="13"/>
        <v>Bangalore</v>
      </c>
      <c r="E410">
        <v>221.33</v>
      </c>
      <c r="F410" t="s">
        <v>86</v>
      </c>
      <c r="G410">
        <v>11.46</v>
      </c>
    </row>
    <row r="411" spans="1:7">
      <c r="A411" s="1">
        <v>44652</v>
      </c>
      <c r="B411" s="1" t="str">
        <f t="shared" si="12"/>
        <v>Before 5G</v>
      </c>
      <c r="C411">
        <v>600001</v>
      </c>
      <c r="D411" t="str">
        <f t="shared" si="13"/>
        <v>Chennai</v>
      </c>
      <c r="E411">
        <v>188.91</v>
      </c>
      <c r="F411" t="s">
        <v>86</v>
      </c>
      <c r="G411">
        <v>9.52</v>
      </c>
    </row>
    <row r="412" spans="1:7">
      <c r="A412" s="1">
        <v>44652</v>
      </c>
      <c r="B412" s="1" t="str">
        <f t="shared" si="12"/>
        <v>Before 5G</v>
      </c>
      <c r="C412">
        <v>500001</v>
      </c>
      <c r="D412" t="str">
        <f t="shared" si="13"/>
        <v>Hyderabad</v>
      </c>
      <c r="E412">
        <v>168.41</v>
      </c>
      <c r="F412" t="s">
        <v>86</v>
      </c>
      <c r="G412">
        <v>9.09</v>
      </c>
    </row>
    <row r="413" spans="1:7">
      <c r="A413" s="1">
        <v>44652</v>
      </c>
      <c r="B413" s="1" t="str">
        <f t="shared" si="12"/>
        <v>Before 5G</v>
      </c>
      <c r="C413">
        <v>411001</v>
      </c>
      <c r="D413" t="str">
        <f t="shared" si="13"/>
        <v>Pune</v>
      </c>
      <c r="E413">
        <v>160.04</v>
      </c>
      <c r="F413" t="s">
        <v>86</v>
      </c>
      <c r="G413">
        <v>8.02</v>
      </c>
    </row>
    <row r="414" spans="1:7">
      <c r="A414" s="1">
        <v>44652</v>
      </c>
      <c r="B414" s="1" t="str">
        <f t="shared" si="12"/>
        <v>Before 5G</v>
      </c>
      <c r="C414">
        <v>380001</v>
      </c>
      <c r="D414" t="str">
        <f t="shared" si="13"/>
        <v>Ahmedabad</v>
      </c>
      <c r="E414">
        <v>124.68</v>
      </c>
      <c r="F414" t="s">
        <v>86</v>
      </c>
      <c r="G414">
        <v>10.89</v>
      </c>
    </row>
    <row r="415" spans="1:7">
      <c r="A415" s="1">
        <v>44652</v>
      </c>
      <c r="B415" s="1" t="str">
        <f t="shared" si="12"/>
        <v>Before 5G</v>
      </c>
      <c r="C415">
        <v>302001</v>
      </c>
      <c r="D415" t="str">
        <f t="shared" si="13"/>
        <v>Jaipur</v>
      </c>
      <c r="E415">
        <v>89.54</v>
      </c>
      <c r="F415" t="s">
        <v>86</v>
      </c>
      <c r="G415">
        <v>12.47</v>
      </c>
    </row>
    <row r="416" spans="1:7">
      <c r="A416" s="1">
        <v>44652</v>
      </c>
      <c r="B416" s="1" t="str">
        <f t="shared" si="12"/>
        <v>Before 5G</v>
      </c>
      <c r="C416">
        <v>226001</v>
      </c>
      <c r="D416" t="str">
        <f t="shared" si="13"/>
        <v>Lucknow</v>
      </c>
      <c r="E416">
        <v>76.569999999999993</v>
      </c>
      <c r="F416" t="s">
        <v>86</v>
      </c>
      <c r="G416">
        <v>11.29</v>
      </c>
    </row>
    <row r="417" spans="1:7">
      <c r="A417" s="1">
        <v>44652</v>
      </c>
      <c r="B417" s="1" t="str">
        <f t="shared" si="12"/>
        <v>Before 5G</v>
      </c>
      <c r="C417">
        <v>800008</v>
      </c>
      <c r="D417" t="str">
        <f t="shared" si="13"/>
        <v>Patna</v>
      </c>
      <c r="E417">
        <v>63.18</v>
      </c>
      <c r="F417" t="s">
        <v>86</v>
      </c>
      <c r="G417">
        <v>11.54</v>
      </c>
    </row>
    <row r="418" spans="1:7">
      <c r="A418" s="1">
        <v>44652</v>
      </c>
      <c r="B418" s="1" t="str">
        <f t="shared" si="12"/>
        <v>Before 5G</v>
      </c>
      <c r="C418">
        <v>641001</v>
      </c>
      <c r="D418" t="str">
        <f t="shared" si="13"/>
        <v>Coimbatore</v>
      </c>
      <c r="E418">
        <v>56.9</v>
      </c>
      <c r="F418" t="s">
        <v>86</v>
      </c>
      <c r="G418">
        <v>11.35</v>
      </c>
    </row>
    <row r="419" spans="1:7">
      <c r="A419" s="1">
        <v>44652</v>
      </c>
      <c r="B419" s="1" t="str">
        <f t="shared" si="12"/>
        <v>Before 5G</v>
      </c>
      <c r="C419">
        <v>160017</v>
      </c>
      <c r="D419" t="str">
        <f t="shared" si="13"/>
        <v>Chandigarh</v>
      </c>
      <c r="E419">
        <v>41.42</v>
      </c>
      <c r="F419" t="s">
        <v>86</v>
      </c>
      <c r="G419">
        <v>9.82</v>
      </c>
    </row>
    <row r="420" spans="1:7">
      <c r="A420" s="1">
        <v>44652</v>
      </c>
      <c r="B420" s="1" t="str">
        <f t="shared" si="12"/>
        <v>Before 5G</v>
      </c>
      <c r="C420">
        <v>122001</v>
      </c>
      <c r="D420" t="str">
        <f t="shared" si="13"/>
        <v>Gurgaon</v>
      </c>
      <c r="E420">
        <v>31.59</v>
      </c>
      <c r="F420" t="s">
        <v>86</v>
      </c>
      <c r="G420">
        <v>10.52</v>
      </c>
    </row>
    <row r="421" spans="1:7">
      <c r="A421" s="1">
        <v>44652</v>
      </c>
      <c r="B421" s="1" t="str">
        <f t="shared" si="12"/>
        <v>Before 5G</v>
      </c>
      <c r="C421">
        <v>492001</v>
      </c>
      <c r="D421" t="str">
        <f t="shared" si="13"/>
        <v>Raipur</v>
      </c>
      <c r="E421">
        <v>19.87</v>
      </c>
      <c r="F421" t="s">
        <v>86</v>
      </c>
      <c r="G421">
        <v>12.31</v>
      </c>
    </row>
    <row r="422" spans="1:7">
      <c r="A422" s="1">
        <v>44713</v>
      </c>
      <c r="B422" s="1" t="str">
        <f t="shared" si="12"/>
        <v>After 5G</v>
      </c>
      <c r="C422">
        <v>400001</v>
      </c>
      <c r="D422" t="str">
        <f t="shared" si="13"/>
        <v>Mumbai</v>
      </c>
      <c r="E422">
        <v>308</v>
      </c>
      <c r="F422" t="s">
        <v>86</v>
      </c>
      <c r="G422">
        <v>12.03</v>
      </c>
    </row>
    <row r="423" spans="1:7">
      <c r="A423" s="1">
        <v>44713</v>
      </c>
      <c r="B423" s="1" t="str">
        <f t="shared" si="12"/>
        <v>After 5G</v>
      </c>
      <c r="C423">
        <v>110001</v>
      </c>
      <c r="D423" t="str">
        <f t="shared" si="13"/>
        <v>Delhi</v>
      </c>
      <c r="E423">
        <v>253.61</v>
      </c>
      <c r="F423" t="s">
        <v>86</v>
      </c>
      <c r="G423">
        <v>10.78</v>
      </c>
    </row>
    <row r="424" spans="1:7">
      <c r="A424" s="1">
        <v>44713</v>
      </c>
      <c r="B424" s="1" t="str">
        <f t="shared" si="12"/>
        <v>After 5G</v>
      </c>
      <c r="C424">
        <v>700001</v>
      </c>
      <c r="D424" t="str">
        <f t="shared" si="13"/>
        <v>Kolkata</v>
      </c>
      <c r="E424">
        <v>235.88</v>
      </c>
      <c r="F424" t="s">
        <v>86</v>
      </c>
      <c r="G424">
        <v>9.65</v>
      </c>
    </row>
    <row r="425" spans="1:7">
      <c r="A425" s="1">
        <v>44713</v>
      </c>
      <c r="B425" s="1" t="str">
        <f t="shared" si="12"/>
        <v>After 5G</v>
      </c>
      <c r="C425">
        <v>560001</v>
      </c>
      <c r="D425" t="str">
        <f t="shared" si="13"/>
        <v>Bangalore</v>
      </c>
      <c r="E425">
        <v>211.24</v>
      </c>
      <c r="F425" t="s">
        <v>86</v>
      </c>
      <c r="G425">
        <v>8.5399999999999991</v>
      </c>
    </row>
    <row r="426" spans="1:7">
      <c r="A426" s="1">
        <v>44713</v>
      </c>
      <c r="B426" s="1" t="str">
        <f t="shared" si="12"/>
        <v>After 5G</v>
      </c>
      <c r="C426">
        <v>600001</v>
      </c>
      <c r="D426" t="str">
        <f t="shared" si="13"/>
        <v>Chennai</v>
      </c>
      <c r="E426">
        <v>174.99</v>
      </c>
      <c r="F426" t="s">
        <v>86</v>
      </c>
      <c r="G426">
        <v>7.26</v>
      </c>
    </row>
    <row r="427" spans="1:7">
      <c r="A427" s="1">
        <v>44713</v>
      </c>
      <c r="B427" s="1" t="str">
        <f t="shared" si="12"/>
        <v>After 5G</v>
      </c>
      <c r="C427">
        <v>500001</v>
      </c>
      <c r="D427" t="str">
        <f t="shared" si="13"/>
        <v>Hyderabad</v>
      </c>
      <c r="E427">
        <v>157.63999999999999</v>
      </c>
      <c r="F427" t="s">
        <v>86</v>
      </c>
      <c r="G427">
        <v>8.8000000000000007</v>
      </c>
    </row>
    <row r="428" spans="1:7">
      <c r="A428" s="1">
        <v>44713</v>
      </c>
      <c r="B428" s="1" t="str">
        <f t="shared" si="12"/>
        <v>After 5G</v>
      </c>
      <c r="C428">
        <v>411001</v>
      </c>
      <c r="D428" t="str">
        <f t="shared" si="13"/>
        <v>Pune</v>
      </c>
      <c r="E428">
        <v>152.13</v>
      </c>
      <c r="F428" t="s">
        <v>86</v>
      </c>
      <c r="G428">
        <v>8.86</v>
      </c>
    </row>
    <row r="429" spans="1:7">
      <c r="A429" s="1">
        <v>44713</v>
      </c>
      <c r="B429" s="1" t="str">
        <f t="shared" si="12"/>
        <v>After 5G</v>
      </c>
      <c r="C429">
        <v>380001</v>
      </c>
      <c r="D429" t="str">
        <f t="shared" si="13"/>
        <v>Ahmedabad</v>
      </c>
      <c r="E429">
        <v>115.47</v>
      </c>
      <c r="F429" t="s">
        <v>86</v>
      </c>
      <c r="G429">
        <v>12.03</v>
      </c>
    </row>
    <row r="430" spans="1:7">
      <c r="A430" s="1">
        <v>44713</v>
      </c>
      <c r="B430" s="1" t="str">
        <f t="shared" si="12"/>
        <v>After 5G</v>
      </c>
      <c r="C430">
        <v>302001</v>
      </c>
      <c r="D430" t="str">
        <f t="shared" si="13"/>
        <v>Jaipur</v>
      </c>
      <c r="E430">
        <v>85.72</v>
      </c>
      <c r="F430" t="s">
        <v>86</v>
      </c>
      <c r="G430">
        <v>12.43</v>
      </c>
    </row>
    <row r="431" spans="1:7">
      <c r="A431" s="1">
        <v>44713</v>
      </c>
      <c r="B431" s="1" t="str">
        <f t="shared" si="12"/>
        <v>After 5G</v>
      </c>
      <c r="C431">
        <v>226001</v>
      </c>
      <c r="D431" t="str">
        <f t="shared" si="13"/>
        <v>Lucknow</v>
      </c>
      <c r="E431">
        <v>73.7</v>
      </c>
      <c r="F431" t="s">
        <v>86</v>
      </c>
      <c r="G431">
        <v>13.26</v>
      </c>
    </row>
    <row r="432" spans="1:7">
      <c r="A432" s="1">
        <v>44713</v>
      </c>
      <c r="B432" s="1" t="str">
        <f t="shared" si="12"/>
        <v>After 5G</v>
      </c>
      <c r="C432">
        <v>800008</v>
      </c>
      <c r="D432" t="str">
        <f t="shared" si="13"/>
        <v>Patna</v>
      </c>
      <c r="E432">
        <v>60.5</v>
      </c>
      <c r="F432" t="s">
        <v>86</v>
      </c>
      <c r="G432">
        <v>12.34</v>
      </c>
    </row>
    <row r="433" spans="1:7">
      <c r="A433" s="1">
        <v>44713</v>
      </c>
      <c r="B433" s="1" t="str">
        <f t="shared" si="12"/>
        <v>After 5G</v>
      </c>
      <c r="C433">
        <v>641001</v>
      </c>
      <c r="D433" t="str">
        <f t="shared" si="13"/>
        <v>Coimbatore</v>
      </c>
      <c r="E433">
        <v>53.6</v>
      </c>
      <c r="F433" t="s">
        <v>86</v>
      </c>
      <c r="G433">
        <v>8.32</v>
      </c>
    </row>
    <row r="434" spans="1:7">
      <c r="A434" s="1">
        <v>44713</v>
      </c>
      <c r="B434" s="1" t="str">
        <f t="shared" si="12"/>
        <v>After 5G</v>
      </c>
      <c r="C434">
        <v>160017</v>
      </c>
      <c r="D434" t="str">
        <f t="shared" si="13"/>
        <v>Chandigarh</v>
      </c>
      <c r="E434">
        <v>39.020000000000003</v>
      </c>
      <c r="F434" t="s">
        <v>86</v>
      </c>
      <c r="G434">
        <v>8.4700000000000006</v>
      </c>
    </row>
    <row r="435" spans="1:7">
      <c r="A435" s="1">
        <v>44713</v>
      </c>
      <c r="B435" s="1" t="str">
        <f t="shared" si="12"/>
        <v>After 5G</v>
      </c>
      <c r="C435">
        <v>122001</v>
      </c>
      <c r="D435" t="str">
        <f t="shared" si="13"/>
        <v>Gurgaon</v>
      </c>
      <c r="E435">
        <v>30.35</v>
      </c>
      <c r="F435" t="s">
        <v>86</v>
      </c>
      <c r="G435">
        <v>10.34</v>
      </c>
    </row>
    <row r="436" spans="1:7">
      <c r="A436" s="1">
        <v>44713</v>
      </c>
      <c r="B436" s="1" t="str">
        <f t="shared" si="12"/>
        <v>After 5G</v>
      </c>
      <c r="C436">
        <v>492001</v>
      </c>
      <c r="D436" t="str">
        <f t="shared" si="13"/>
        <v>Raipur</v>
      </c>
      <c r="E436">
        <v>18.920000000000002</v>
      </c>
      <c r="F436" t="s">
        <v>86</v>
      </c>
      <c r="G436">
        <v>12.56</v>
      </c>
    </row>
    <row r="437" spans="1:7">
      <c r="A437" s="1">
        <v>44743</v>
      </c>
      <c r="B437" s="1" t="str">
        <f t="shared" si="12"/>
        <v>After 5G</v>
      </c>
      <c r="C437">
        <v>400001</v>
      </c>
      <c r="D437" t="str">
        <f t="shared" si="13"/>
        <v>Mumbai</v>
      </c>
      <c r="E437">
        <v>348.85</v>
      </c>
      <c r="F437" t="s">
        <v>86</v>
      </c>
      <c r="G437">
        <v>11.67</v>
      </c>
    </row>
    <row r="438" spans="1:7">
      <c r="A438" s="1">
        <v>44743</v>
      </c>
      <c r="B438" s="1" t="str">
        <f t="shared" si="12"/>
        <v>After 5G</v>
      </c>
      <c r="C438">
        <v>110001</v>
      </c>
      <c r="D438" t="str">
        <f t="shared" si="13"/>
        <v>Delhi</v>
      </c>
      <c r="E438">
        <v>287.25</v>
      </c>
      <c r="F438" t="s">
        <v>86</v>
      </c>
      <c r="G438">
        <v>9.09</v>
      </c>
    </row>
    <row r="439" spans="1:7">
      <c r="A439" s="1">
        <v>44743</v>
      </c>
      <c r="B439" s="1" t="str">
        <f t="shared" si="12"/>
        <v>After 5G</v>
      </c>
      <c r="C439">
        <v>700001</v>
      </c>
      <c r="D439" t="str">
        <f t="shared" si="13"/>
        <v>Kolkata</v>
      </c>
      <c r="E439">
        <v>267.16000000000003</v>
      </c>
      <c r="F439" t="s">
        <v>86</v>
      </c>
      <c r="G439">
        <v>9.91</v>
      </c>
    </row>
    <row r="440" spans="1:7">
      <c r="A440" s="1">
        <v>44743</v>
      </c>
      <c r="B440" s="1" t="str">
        <f t="shared" si="12"/>
        <v>After 5G</v>
      </c>
      <c r="C440">
        <v>560001</v>
      </c>
      <c r="D440" t="str">
        <f t="shared" si="13"/>
        <v>Bangalore</v>
      </c>
      <c r="E440">
        <v>239.26</v>
      </c>
      <c r="F440" t="s">
        <v>86</v>
      </c>
      <c r="G440">
        <v>9.4700000000000006</v>
      </c>
    </row>
    <row r="441" spans="1:7">
      <c r="A441" s="1">
        <v>44743</v>
      </c>
      <c r="B441" s="1" t="str">
        <f t="shared" si="12"/>
        <v>After 5G</v>
      </c>
      <c r="C441">
        <v>600001</v>
      </c>
      <c r="D441" t="str">
        <f t="shared" si="13"/>
        <v>Chennai</v>
      </c>
      <c r="E441">
        <v>198.2</v>
      </c>
      <c r="F441" t="s">
        <v>86</v>
      </c>
      <c r="G441">
        <v>9.67</v>
      </c>
    </row>
    <row r="442" spans="1:7">
      <c r="A442" s="1">
        <v>44743</v>
      </c>
      <c r="B442" s="1" t="str">
        <f t="shared" si="12"/>
        <v>After 5G</v>
      </c>
      <c r="C442">
        <v>500001</v>
      </c>
      <c r="D442" t="str">
        <f t="shared" si="13"/>
        <v>Hyderabad</v>
      </c>
      <c r="E442">
        <v>178.56</v>
      </c>
      <c r="F442" t="s">
        <v>86</v>
      </c>
      <c r="G442">
        <v>11.74</v>
      </c>
    </row>
    <row r="443" spans="1:7">
      <c r="A443" s="1">
        <v>44743</v>
      </c>
      <c r="B443" s="1" t="str">
        <f t="shared" si="12"/>
        <v>After 5G</v>
      </c>
      <c r="C443">
        <v>411001</v>
      </c>
      <c r="D443" t="str">
        <f t="shared" si="13"/>
        <v>Pune</v>
      </c>
      <c r="E443">
        <v>172.31</v>
      </c>
      <c r="F443" t="s">
        <v>86</v>
      </c>
      <c r="G443">
        <v>8.5399999999999991</v>
      </c>
    </row>
    <row r="444" spans="1:7">
      <c r="A444" s="1">
        <v>44743</v>
      </c>
      <c r="B444" s="1" t="str">
        <f t="shared" si="12"/>
        <v>After 5G</v>
      </c>
      <c r="C444">
        <v>380001</v>
      </c>
      <c r="D444" t="str">
        <f t="shared" si="13"/>
        <v>Ahmedabad</v>
      </c>
      <c r="E444">
        <v>130.79</v>
      </c>
      <c r="F444" t="s">
        <v>86</v>
      </c>
      <c r="G444">
        <v>8.6300000000000008</v>
      </c>
    </row>
    <row r="445" spans="1:7">
      <c r="A445" s="1">
        <v>44743</v>
      </c>
      <c r="B445" s="1" t="str">
        <f t="shared" si="12"/>
        <v>After 5G</v>
      </c>
      <c r="C445">
        <v>302001</v>
      </c>
      <c r="D445" t="str">
        <f t="shared" si="13"/>
        <v>Jaipur</v>
      </c>
      <c r="E445">
        <v>97.09</v>
      </c>
      <c r="F445" t="s">
        <v>86</v>
      </c>
      <c r="G445">
        <v>11.38</v>
      </c>
    </row>
    <row r="446" spans="1:7">
      <c r="A446" s="1">
        <v>44743</v>
      </c>
      <c r="B446" s="1" t="str">
        <f t="shared" si="12"/>
        <v>After 5G</v>
      </c>
      <c r="C446">
        <v>226001</v>
      </c>
      <c r="D446" t="str">
        <f t="shared" si="13"/>
        <v>Lucknow</v>
      </c>
      <c r="E446">
        <v>83.47</v>
      </c>
      <c r="F446" t="s">
        <v>86</v>
      </c>
      <c r="G446">
        <v>9.24</v>
      </c>
    </row>
    <row r="447" spans="1:7">
      <c r="A447" s="1">
        <v>44743</v>
      </c>
      <c r="B447" s="1" t="str">
        <f t="shared" si="12"/>
        <v>After 5G</v>
      </c>
      <c r="C447">
        <v>800008</v>
      </c>
      <c r="D447" t="str">
        <f t="shared" si="13"/>
        <v>Patna</v>
      </c>
      <c r="E447">
        <v>68.52</v>
      </c>
      <c r="F447" t="s">
        <v>86</v>
      </c>
      <c r="G447">
        <v>11.08</v>
      </c>
    </row>
    <row r="448" spans="1:7">
      <c r="A448" s="1">
        <v>44743</v>
      </c>
      <c r="B448" s="1" t="str">
        <f t="shared" si="12"/>
        <v>After 5G</v>
      </c>
      <c r="C448">
        <v>641001</v>
      </c>
      <c r="D448" t="str">
        <f t="shared" si="13"/>
        <v>Coimbatore</v>
      </c>
      <c r="E448">
        <v>60.71</v>
      </c>
      <c r="F448" t="s">
        <v>86</v>
      </c>
      <c r="G448">
        <v>9.89</v>
      </c>
    </row>
    <row r="449" spans="1:7">
      <c r="A449" s="1">
        <v>44743</v>
      </c>
      <c r="B449" s="1" t="str">
        <f t="shared" si="12"/>
        <v>After 5G</v>
      </c>
      <c r="C449">
        <v>160017</v>
      </c>
      <c r="D449" t="str">
        <f t="shared" si="13"/>
        <v>Chandigarh</v>
      </c>
      <c r="E449">
        <v>44.19</v>
      </c>
      <c r="F449" t="s">
        <v>86</v>
      </c>
      <c r="G449">
        <v>11.42</v>
      </c>
    </row>
    <row r="450" spans="1:7">
      <c r="A450" s="1">
        <v>44743</v>
      </c>
      <c r="B450" s="1" t="str">
        <f t="shared" si="12"/>
        <v>After 5G</v>
      </c>
      <c r="C450">
        <v>122001</v>
      </c>
      <c r="D450" t="str">
        <f t="shared" si="13"/>
        <v>Gurgaon</v>
      </c>
      <c r="E450">
        <v>34.369999999999997</v>
      </c>
      <c r="F450" t="s">
        <v>86</v>
      </c>
      <c r="G450">
        <v>8.9700000000000006</v>
      </c>
    </row>
    <row r="451" spans="1:7">
      <c r="A451" s="1">
        <v>44743</v>
      </c>
      <c r="B451" s="1" t="str">
        <f t="shared" ref="B451:B514" si="14">VLOOKUP(A451,$I$2:$K$9,3,FALSE)</f>
        <v>After 5G</v>
      </c>
      <c r="C451">
        <v>492001</v>
      </c>
      <c r="D451" t="str">
        <f t="shared" ref="D451:D514" si="15">VLOOKUP(C451,$O$2:$P$16,2,FALSE)</f>
        <v>Raipur</v>
      </c>
      <c r="E451">
        <v>21.43</v>
      </c>
      <c r="F451" t="s">
        <v>86</v>
      </c>
      <c r="G451">
        <v>10.45</v>
      </c>
    </row>
    <row r="452" spans="1:7">
      <c r="A452" s="1">
        <v>44774</v>
      </c>
      <c r="B452" s="1" t="str">
        <f t="shared" si="14"/>
        <v>After 5G</v>
      </c>
      <c r="C452">
        <v>400001</v>
      </c>
      <c r="D452" t="str">
        <f t="shared" si="15"/>
        <v>Mumbai</v>
      </c>
      <c r="E452">
        <v>333.45</v>
      </c>
      <c r="F452" t="s">
        <v>86</v>
      </c>
      <c r="G452">
        <v>11.84</v>
      </c>
    </row>
    <row r="453" spans="1:7">
      <c r="A453" s="1">
        <v>44774</v>
      </c>
      <c r="B453" s="1" t="str">
        <f t="shared" si="14"/>
        <v>After 5G</v>
      </c>
      <c r="C453">
        <v>110001</v>
      </c>
      <c r="D453" t="str">
        <f t="shared" si="15"/>
        <v>Delhi</v>
      </c>
      <c r="E453">
        <v>274.57</v>
      </c>
      <c r="F453" t="s">
        <v>86</v>
      </c>
      <c r="G453">
        <v>7.83</v>
      </c>
    </row>
    <row r="454" spans="1:7">
      <c r="A454" s="1">
        <v>44774</v>
      </c>
      <c r="B454" s="1" t="str">
        <f t="shared" si="14"/>
        <v>After 5G</v>
      </c>
      <c r="C454">
        <v>700001</v>
      </c>
      <c r="D454" t="str">
        <f t="shared" si="15"/>
        <v>Kolkata</v>
      </c>
      <c r="E454">
        <v>255.37</v>
      </c>
      <c r="F454" t="s">
        <v>86</v>
      </c>
      <c r="G454">
        <v>9.0500000000000007</v>
      </c>
    </row>
    <row r="455" spans="1:7">
      <c r="A455" s="1">
        <v>44774</v>
      </c>
      <c r="B455" s="1" t="str">
        <f t="shared" si="14"/>
        <v>After 5G</v>
      </c>
      <c r="C455">
        <v>560001</v>
      </c>
      <c r="D455" t="str">
        <f t="shared" si="15"/>
        <v>Bangalore</v>
      </c>
      <c r="E455">
        <v>228.7</v>
      </c>
      <c r="F455" t="s">
        <v>86</v>
      </c>
      <c r="G455">
        <v>11.31</v>
      </c>
    </row>
    <row r="456" spans="1:7">
      <c r="A456" s="1">
        <v>44774</v>
      </c>
      <c r="B456" s="1" t="str">
        <f t="shared" si="14"/>
        <v>After 5G</v>
      </c>
      <c r="C456">
        <v>600001</v>
      </c>
      <c r="D456" t="str">
        <f t="shared" si="15"/>
        <v>Chennai</v>
      </c>
      <c r="E456">
        <v>189.45</v>
      </c>
      <c r="F456" t="s">
        <v>86</v>
      </c>
      <c r="G456">
        <v>13.01</v>
      </c>
    </row>
    <row r="457" spans="1:7">
      <c r="A457" s="1">
        <v>44774</v>
      </c>
      <c r="B457" s="1" t="str">
        <f t="shared" si="14"/>
        <v>After 5G</v>
      </c>
      <c r="C457">
        <v>500001</v>
      </c>
      <c r="D457" t="str">
        <f t="shared" si="15"/>
        <v>Hyderabad</v>
      </c>
      <c r="E457">
        <v>170.67</v>
      </c>
      <c r="F457" t="s">
        <v>86</v>
      </c>
      <c r="G457">
        <v>11.67</v>
      </c>
    </row>
    <row r="458" spans="1:7">
      <c r="A458" s="1">
        <v>44774</v>
      </c>
      <c r="B458" s="1" t="str">
        <f t="shared" si="14"/>
        <v>After 5G</v>
      </c>
      <c r="C458">
        <v>411001</v>
      </c>
      <c r="D458" t="str">
        <f t="shared" si="15"/>
        <v>Pune</v>
      </c>
      <c r="E458">
        <v>164.7</v>
      </c>
      <c r="F458" t="s">
        <v>86</v>
      </c>
      <c r="G458">
        <v>12.56</v>
      </c>
    </row>
    <row r="459" spans="1:7">
      <c r="A459" s="1">
        <v>44774</v>
      </c>
      <c r="B459" s="1" t="str">
        <f t="shared" si="14"/>
        <v>After 5G</v>
      </c>
      <c r="C459">
        <v>380001</v>
      </c>
      <c r="D459" t="str">
        <f t="shared" si="15"/>
        <v>Ahmedabad</v>
      </c>
      <c r="E459">
        <v>125.02</v>
      </c>
      <c r="F459" t="s">
        <v>86</v>
      </c>
      <c r="G459">
        <v>10.26</v>
      </c>
    </row>
    <row r="460" spans="1:7">
      <c r="A460" s="1">
        <v>44774</v>
      </c>
      <c r="B460" s="1" t="str">
        <f t="shared" si="14"/>
        <v>After 5G</v>
      </c>
      <c r="C460">
        <v>302001</v>
      </c>
      <c r="D460" t="str">
        <f t="shared" si="15"/>
        <v>Jaipur</v>
      </c>
      <c r="E460">
        <v>92.8</v>
      </c>
      <c r="F460" t="s">
        <v>86</v>
      </c>
      <c r="G460">
        <v>10.81</v>
      </c>
    </row>
    <row r="461" spans="1:7">
      <c r="A461" s="1">
        <v>44774</v>
      </c>
      <c r="B461" s="1" t="str">
        <f t="shared" si="14"/>
        <v>After 5G</v>
      </c>
      <c r="C461">
        <v>226001</v>
      </c>
      <c r="D461" t="str">
        <f t="shared" si="15"/>
        <v>Lucknow</v>
      </c>
      <c r="E461">
        <v>79.790000000000006</v>
      </c>
      <c r="F461" t="s">
        <v>86</v>
      </c>
      <c r="G461">
        <v>8.81</v>
      </c>
    </row>
    <row r="462" spans="1:7">
      <c r="A462" s="1">
        <v>44774</v>
      </c>
      <c r="B462" s="1" t="str">
        <f t="shared" si="14"/>
        <v>After 5G</v>
      </c>
      <c r="C462">
        <v>800008</v>
      </c>
      <c r="D462" t="str">
        <f t="shared" si="15"/>
        <v>Patna</v>
      </c>
      <c r="E462">
        <v>65.5</v>
      </c>
      <c r="F462" t="s">
        <v>86</v>
      </c>
      <c r="G462">
        <v>10.61</v>
      </c>
    </row>
    <row r="463" spans="1:7">
      <c r="A463" s="1">
        <v>44774</v>
      </c>
      <c r="B463" s="1" t="str">
        <f t="shared" si="14"/>
        <v>After 5G</v>
      </c>
      <c r="C463">
        <v>641001</v>
      </c>
      <c r="D463" t="str">
        <f t="shared" si="15"/>
        <v>Coimbatore</v>
      </c>
      <c r="E463">
        <v>58.03</v>
      </c>
      <c r="F463" t="s">
        <v>86</v>
      </c>
      <c r="G463">
        <v>8.39</v>
      </c>
    </row>
    <row r="464" spans="1:7">
      <c r="A464" s="1">
        <v>44774</v>
      </c>
      <c r="B464" s="1" t="str">
        <f t="shared" si="14"/>
        <v>After 5G</v>
      </c>
      <c r="C464">
        <v>160017</v>
      </c>
      <c r="D464" t="str">
        <f t="shared" si="15"/>
        <v>Chandigarh</v>
      </c>
      <c r="E464">
        <v>42.24</v>
      </c>
      <c r="F464" t="s">
        <v>86</v>
      </c>
      <c r="G464">
        <v>10.64</v>
      </c>
    </row>
    <row r="465" spans="1:7">
      <c r="A465" s="1">
        <v>44774</v>
      </c>
      <c r="B465" s="1" t="str">
        <f t="shared" si="14"/>
        <v>After 5G</v>
      </c>
      <c r="C465">
        <v>122001</v>
      </c>
      <c r="D465" t="str">
        <f t="shared" si="15"/>
        <v>Gurgaon</v>
      </c>
      <c r="E465">
        <v>32.85</v>
      </c>
      <c r="F465" t="s">
        <v>86</v>
      </c>
      <c r="G465">
        <v>8.19</v>
      </c>
    </row>
    <row r="466" spans="1:7">
      <c r="A466" s="1">
        <v>44774</v>
      </c>
      <c r="B466" s="1" t="str">
        <f t="shared" si="14"/>
        <v>After 5G</v>
      </c>
      <c r="C466">
        <v>492001</v>
      </c>
      <c r="D466" t="str">
        <f t="shared" si="15"/>
        <v>Raipur</v>
      </c>
      <c r="E466">
        <v>20.48</v>
      </c>
      <c r="F466" t="s">
        <v>86</v>
      </c>
      <c r="G466">
        <v>9.6</v>
      </c>
    </row>
    <row r="467" spans="1:7">
      <c r="A467" s="1">
        <v>44805</v>
      </c>
      <c r="B467" s="1" t="str">
        <f t="shared" si="14"/>
        <v>After 5G</v>
      </c>
      <c r="C467">
        <v>400001</v>
      </c>
      <c r="D467" t="str">
        <f t="shared" si="15"/>
        <v>Mumbai</v>
      </c>
      <c r="E467">
        <v>349.97</v>
      </c>
      <c r="F467" t="s">
        <v>86</v>
      </c>
      <c r="G467">
        <v>12.42</v>
      </c>
    </row>
    <row r="468" spans="1:7">
      <c r="A468" s="1">
        <v>44805</v>
      </c>
      <c r="B468" s="1" t="str">
        <f t="shared" si="14"/>
        <v>After 5G</v>
      </c>
      <c r="C468">
        <v>110001</v>
      </c>
      <c r="D468" t="str">
        <f t="shared" si="15"/>
        <v>Delhi</v>
      </c>
      <c r="E468">
        <v>288.17</v>
      </c>
      <c r="F468" t="s">
        <v>86</v>
      </c>
      <c r="G468">
        <v>9.65</v>
      </c>
    </row>
    <row r="469" spans="1:7">
      <c r="A469" s="1">
        <v>44805</v>
      </c>
      <c r="B469" s="1" t="str">
        <f t="shared" si="14"/>
        <v>After 5G</v>
      </c>
      <c r="C469">
        <v>700001</v>
      </c>
      <c r="D469" t="str">
        <f t="shared" si="15"/>
        <v>Kolkata</v>
      </c>
      <c r="E469">
        <v>268.02</v>
      </c>
      <c r="F469" t="s">
        <v>86</v>
      </c>
      <c r="G469">
        <v>9.35</v>
      </c>
    </row>
    <row r="470" spans="1:7">
      <c r="A470" s="1">
        <v>44805</v>
      </c>
      <c r="B470" s="1" t="str">
        <f t="shared" si="14"/>
        <v>After 5G</v>
      </c>
      <c r="C470">
        <v>560001</v>
      </c>
      <c r="D470" t="str">
        <f t="shared" si="15"/>
        <v>Bangalore</v>
      </c>
      <c r="E470">
        <v>240.03</v>
      </c>
      <c r="F470" t="s">
        <v>86</v>
      </c>
      <c r="G470">
        <v>11.68</v>
      </c>
    </row>
    <row r="471" spans="1:7">
      <c r="A471" s="1">
        <v>44805</v>
      </c>
      <c r="B471" s="1" t="str">
        <f t="shared" si="14"/>
        <v>After 5G</v>
      </c>
      <c r="C471">
        <v>600001</v>
      </c>
      <c r="D471" t="str">
        <f t="shared" si="15"/>
        <v>Chennai</v>
      </c>
      <c r="E471">
        <v>198.83</v>
      </c>
      <c r="F471" t="s">
        <v>86</v>
      </c>
      <c r="G471">
        <v>9.6999999999999993</v>
      </c>
    </row>
    <row r="472" spans="1:7">
      <c r="A472" s="1">
        <v>44805</v>
      </c>
      <c r="B472" s="1" t="str">
        <f t="shared" si="14"/>
        <v>After 5G</v>
      </c>
      <c r="C472">
        <v>500001</v>
      </c>
      <c r="D472" t="str">
        <f t="shared" si="15"/>
        <v>Hyderabad</v>
      </c>
      <c r="E472">
        <v>179.13</v>
      </c>
      <c r="F472" t="s">
        <v>86</v>
      </c>
      <c r="G472">
        <v>9.24</v>
      </c>
    </row>
    <row r="473" spans="1:7">
      <c r="A473" s="1">
        <v>44805</v>
      </c>
      <c r="B473" s="1" t="str">
        <f t="shared" si="14"/>
        <v>After 5G</v>
      </c>
      <c r="C473">
        <v>411001</v>
      </c>
      <c r="D473" t="str">
        <f t="shared" si="15"/>
        <v>Pune</v>
      </c>
      <c r="E473">
        <v>172.86</v>
      </c>
      <c r="F473" t="s">
        <v>86</v>
      </c>
      <c r="G473">
        <v>8.27</v>
      </c>
    </row>
    <row r="474" spans="1:7">
      <c r="A474" s="1">
        <v>44805</v>
      </c>
      <c r="B474" s="1" t="str">
        <f t="shared" si="14"/>
        <v>After 5G</v>
      </c>
      <c r="C474">
        <v>380001</v>
      </c>
      <c r="D474" t="str">
        <f t="shared" si="15"/>
        <v>Ahmedabad</v>
      </c>
      <c r="E474">
        <v>131.21</v>
      </c>
      <c r="F474" t="s">
        <v>86</v>
      </c>
      <c r="G474">
        <v>11.11</v>
      </c>
    </row>
    <row r="475" spans="1:7">
      <c r="A475" s="1">
        <v>44805</v>
      </c>
      <c r="B475" s="1" t="str">
        <f t="shared" si="14"/>
        <v>After 5G</v>
      </c>
      <c r="C475">
        <v>302001</v>
      </c>
      <c r="D475" t="str">
        <f t="shared" si="15"/>
        <v>Jaipur</v>
      </c>
      <c r="E475">
        <v>97.4</v>
      </c>
      <c r="F475" t="s">
        <v>86</v>
      </c>
      <c r="G475">
        <v>12.7</v>
      </c>
    </row>
    <row r="476" spans="1:7">
      <c r="A476" s="1">
        <v>44805</v>
      </c>
      <c r="B476" s="1" t="str">
        <f t="shared" si="14"/>
        <v>After 5G</v>
      </c>
      <c r="C476">
        <v>226001</v>
      </c>
      <c r="D476" t="str">
        <f t="shared" si="15"/>
        <v>Lucknow</v>
      </c>
      <c r="E476">
        <v>83.74</v>
      </c>
      <c r="F476" t="s">
        <v>86</v>
      </c>
      <c r="G476">
        <v>11.49</v>
      </c>
    </row>
    <row r="477" spans="1:7">
      <c r="A477" s="1">
        <v>44805</v>
      </c>
      <c r="B477" s="1" t="str">
        <f t="shared" si="14"/>
        <v>After 5G</v>
      </c>
      <c r="C477">
        <v>800008</v>
      </c>
      <c r="D477" t="str">
        <f t="shared" si="15"/>
        <v>Patna</v>
      </c>
      <c r="E477">
        <v>68.739999999999995</v>
      </c>
      <c r="F477" t="s">
        <v>86</v>
      </c>
      <c r="G477">
        <v>11.74</v>
      </c>
    </row>
    <row r="478" spans="1:7">
      <c r="A478" s="1">
        <v>44805</v>
      </c>
      <c r="B478" s="1" t="str">
        <f t="shared" si="14"/>
        <v>After 5G</v>
      </c>
      <c r="C478">
        <v>641001</v>
      </c>
      <c r="D478" t="str">
        <f t="shared" si="15"/>
        <v>Coimbatore</v>
      </c>
      <c r="E478">
        <v>60.9</v>
      </c>
      <c r="F478" t="s">
        <v>86</v>
      </c>
      <c r="G478">
        <v>11.53</v>
      </c>
    </row>
    <row r="479" spans="1:7">
      <c r="A479" s="1">
        <v>44805</v>
      </c>
      <c r="B479" s="1" t="str">
        <f t="shared" si="14"/>
        <v>After 5G</v>
      </c>
      <c r="C479">
        <v>160017</v>
      </c>
      <c r="D479" t="str">
        <f t="shared" si="15"/>
        <v>Chandigarh</v>
      </c>
      <c r="E479">
        <v>44.33</v>
      </c>
      <c r="F479" t="s">
        <v>86</v>
      </c>
      <c r="G479">
        <v>10.09</v>
      </c>
    </row>
    <row r="480" spans="1:7">
      <c r="A480" s="1">
        <v>44805</v>
      </c>
      <c r="B480" s="1" t="str">
        <f t="shared" si="14"/>
        <v>After 5G</v>
      </c>
      <c r="C480">
        <v>122001</v>
      </c>
      <c r="D480" t="str">
        <f t="shared" si="15"/>
        <v>Gurgaon</v>
      </c>
      <c r="E480">
        <v>34.479999999999997</v>
      </c>
      <c r="F480" t="s">
        <v>86</v>
      </c>
      <c r="G480">
        <v>10.73</v>
      </c>
    </row>
    <row r="481" spans="1:7">
      <c r="A481" s="1">
        <v>44805</v>
      </c>
      <c r="B481" s="1" t="str">
        <f t="shared" si="14"/>
        <v>After 5G</v>
      </c>
      <c r="C481">
        <v>492001</v>
      </c>
      <c r="D481" t="str">
        <f t="shared" si="15"/>
        <v>Raipur</v>
      </c>
      <c r="E481">
        <v>21.5</v>
      </c>
      <c r="F481" t="s">
        <v>86</v>
      </c>
      <c r="G481">
        <v>12.52</v>
      </c>
    </row>
    <row r="482" spans="1:7">
      <c r="A482" s="1">
        <v>44562</v>
      </c>
      <c r="B482" s="1" t="str">
        <f t="shared" si="14"/>
        <v>Before 5G</v>
      </c>
      <c r="C482">
        <v>400001</v>
      </c>
      <c r="D482" t="str">
        <f t="shared" si="15"/>
        <v>Mumbai</v>
      </c>
      <c r="E482">
        <v>286.29000000000002</v>
      </c>
      <c r="F482" t="s">
        <v>87</v>
      </c>
      <c r="G482">
        <v>7.52</v>
      </c>
    </row>
    <row r="483" spans="1:7">
      <c r="A483" s="1">
        <v>44562</v>
      </c>
      <c r="B483" s="1" t="str">
        <f t="shared" si="14"/>
        <v>Before 5G</v>
      </c>
      <c r="C483">
        <v>110001</v>
      </c>
      <c r="D483" t="str">
        <f t="shared" si="15"/>
        <v>Delhi</v>
      </c>
      <c r="E483">
        <v>241.59</v>
      </c>
      <c r="F483" t="s">
        <v>87</v>
      </c>
      <c r="G483">
        <v>6.57</v>
      </c>
    </row>
    <row r="484" spans="1:7">
      <c r="A484" s="1">
        <v>44562</v>
      </c>
      <c r="B484" s="1" t="str">
        <f t="shared" si="14"/>
        <v>Before 5G</v>
      </c>
      <c r="C484">
        <v>700001</v>
      </c>
      <c r="D484" t="str">
        <f t="shared" si="15"/>
        <v>Kolkata</v>
      </c>
      <c r="E484">
        <v>222.19</v>
      </c>
      <c r="F484" t="s">
        <v>87</v>
      </c>
      <c r="G484">
        <v>7.93</v>
      </c>
    </row>
    <row r="485" spans="1:7">
      <c r="A485" s="1">
        <v>44562</v>
      </c>
      <c r="B485" s="1" t="str">
        <f t="shared" si="14"/>
        <v>Before 5G</v>
      </c>
      <c r="C485">
        <v>560001</v>
      </c>
      <c r="D485" t="str">
        <f t="shared" si="15"/>
        <v>Bangalore</v>
      </c>
      <c r="E485">
        <v>195.41</v>
      </c>
      <c r="F485" t="s">
        <v>87</v>
      </c>
      <c r="G485">
        <v>5.46</v>
      </c>
    </row>
    <row r="486" spans="1:7">
      <c r="A486" s="1">
        <v>44562</v>
      </c>
      <c r="B486" s="1" t="str">
        <f t="shared" si="14"/>
        <v>Before 5G</v>
      </c>
      <c r="C486">
        <v>600001</v>
      </c>
      <c r="D486" t="str">
        <f t="shared" si="15"/>
        <v>Chennai</v>
      </c>
      <c r="E486">
        <v>166.78</v>
      </c>
      <c r="F486" t="s">
        <v>87</v>
      </c>
      <c r="G486">
        <v>7.03</v>
      </c>
    </row>
    <row r="487" spans="1:7">
      <c r="A487" s="1">
        <v>44562</v>
      </c>
      <c r="B487" s="1" t="str">
        <f t="shared" si="14"/>
        <v>Before 5G</v>
      </c>
      <c r="C487">
        <v>500001</v>
      </c>
      <c r="D487" t="str">
        <f t="shared" si="15"/>
        <v>Hyderabad</v>
      </c>
      <c r="E487">
        <v>148.68</v>
      </c>
      <c r="F487" t="s">
        <v>87</v>
      </c>
      <c r="G487">
        <v>7.35</v>
      </c>
    </row>
    <row r="488" spans="1:7">
      <c r="A488" s="1">
        <v>44562</v>
      </c>
      <c r="B488" s="1" t="str">
        <f t="shared" si="14"/>
        <v>Before 5G</v>
      </c>
      <c r="C488">
        <v>411001</v>
      </c>
      <c r="D488" t="str">
        <f t="shared" si="15"/>
        <v>Pune</v>
      </c>
      <c r="E488">
        <v>141.30000000000001</v>
      </c>
      <c r="F488" t="s">
        <v>87</v>
      </c>
      <c r="G488">
        <v>8.4499999999999993</v>
      </c>
    </row>
    <row r="489" spans="1:7">
      <c r="A489" s="1">
        <v>44562</v>
      </c>
      <c r="B489" s="1" t="str">
        <f t="shared" si="14"/>
        <v>Before 5G</v>
      </c>
      <c r="C489">
        <v>380001</v>
      </c>
      <c r="D489" t="str">
        <f t="shared" si="15"/>
        <v>Ahmedabad</v>
      </c>
      <c r="E489">
        <v>110.08</v>
      </c>
      <c r="F489" t="s">
        <v>87</v>
      </c>
      <c r="G489">
        <v>6.54</v>
      </c>
    </row>
    <row r="490" spans="1:7">
      <c r="A490" s="1">
        <v>44562</v>
      </c>
      <c r="B490" s="1" t="str">
        <f t="shared" si="14"/>
        <v>Before 5G</v>
      </c>
      <c r="C490">
        <v>302001</v>
      </c>
      <c r="D490" t="str">
        <f t="shared" si="15"/>
        <v>Jaipur</v>
      </c>
      <c r="E490">
        <v>79.05</v>
      </c>
      <c r="F490" t="s">
        <v>87</v>
      </c>
      <c r="G490">
        <v>6.32</v>
      </c>
    </row>
    <row r="491" spans="1:7">
      <c r="A491" s="1">
        <v>44562</v>
      </c>
      <c r="B491" s="1" t="str">
        <f t="shared" si="14"/>
        <v>Before 5G</v>
      </c>
      <c r="C491">
        <v>226001</v>
      </c>
      <c r="D491" t="str">
        <f t="shared" si="15"/>
        <v>Lucknow</v>
      </c>
      <c r="E491">
        <v>67.599999999999994</v>
      </c>
      <c r="F491" t="s">
        <v>87</v>
      </c>
      <c r="G491">
        <v>5.35</v>
      </c>
    </row>
    <row r="492" spans="1:7">
      <c r="A492" s="1">
        <v>44562</v>
      </c>
      <c r="B492" s="1" t="str">
        <f t="shared" si="14"/>
        <v>Before 5G</v>
      </c>
      <c r="C492">
        <v>800008</v>
      </c>
      <c r="D492" t="str">
        <f t="shared" si="15"/>
        <v>Patna</v>
      </c>
      <c r="E492">
        <v>55.78</v>
      </c>
      <c r="F492" t="s">
        <v>87</v>
      </c>
      <c r="G492">
        <v>7.36</v>
      </c>
    </row>
    <row r="493" spans="1:7">
      <c r="A493" s="1">
        <v>44562</v>
      </c>
      <c r="B493" s="1" t="str">
        <f t="shared" si="14"/>
        <v>Before 5G</v>
      </c>
      <c r="C493">
        <v>641001</v>
      </c>
      <c r="D493" t="str">
        <f t="shared" si="15"/>
        <v>Coimbatore</v>
      </c>
      <c r="E493">
        <v>50.24</v>
      </c>
      <c r="F493" t="s">
        <v>87</v>
      </c>
      <c r="G493">
        <v>9.02</v>
      </c>
    </row>
    <row r="494" spans="1:7">
      <c r="A494" s="1">
        <v>44562</v>
      </c>
      <c r="B494" s="1" t="str">
        <f t="shared" si="14"/>
        <v>Before 5G</v>
      </c>
      <c r="C494">
        <v>160017</v>
      </c>
      <c r="D494" t="str">
        <f t="shared" si="15"/>
        <v>Chandigarh</v>
      </c>
      <c r="E494">
        <v>36.57</v>
      </c>
      <c r="F494" t="s">
        <v>87</v>
      </c>
      <c r="G494">
        <v>8.81</v>
      </c>
    </row>
    <row r="495" spans="1:7">
      <c r="A495" s="1">
        <v>44562</v>
      </c>
      <c r="B495" s="1" t="str">
        <f t="shared" si="14"/>
        <v>Before 5G</v>
      </c>
      <c r="C495">
        <v>122001</v>
      </c>
      <c r="D495" t="str">
        <f t="shared" si="15"/>
        <v>Gurgaon</v>
      </c>
      <c r="E495">
        <v>27.89</v>
      </c>
      <c r="F495" t="s">
        <v>87</v>
      </c>
      <c r="G495">
        <v>7.97</v>
      </c>
    </row>
    <row r="496" spans="1:7">
      <c r="A496" s="1">
        <v>44562</v>
      </c>
      <c r="B496" s="1" t="str">
        <f t="shared" si="14"/>
        <v>Before 5G</v>
      </c>
      <c r="C496">
        <v>492001</v>
      </c>
      <c r="D496" t="str">
        <f t="shared" si="15"/>
        <v>Raipur</v>
      </c>
      <c r="E496">
        <v>17.55</v>
      </c>
      <c r="F496" t="s">
        <v>87</v>
      </c>
      <c r="G496">
        <v>6.58</v>
      </c>
    </row>
    <row r="497" spans="1:7">
      <c r="A497" s="1">
        <v>44593</v>
      </c>
      <c r="B497" s="1" t="str">
        <f t="shared" si="14"/>
        <v>Before 5G</v>
      </c>
      <c r="C497">
        <v>400001</v>
      </c>
      <c r="D497" t="str">
        <f t="shared" si="15"/>
        <v>Mumbai</v>
      </c>
      <c r="E497">
        <v>328.6</v>
      </c>
      <c r="F497" t="s">
        <v>87</v>
      </c>
      <c r="G497">
        <v>5.66</v>
      </c>
    </row>
    <row r="498" spans="1:7">
      <c r="A498" s="1">
        <v>44593</v>
      </c>
      <c r="B498" s="1" t="str">
        <f t="shared" si="14"/>
        <v>Before 5G</v>
      </c>
      <c r="C498">
        <v>110001</v>
      </c>
      <c r="D498" t="str">
        <f t="shared" si="15"/>
        <v>Delhi</v>
      </c>
      <c r="E498">
        <v>277.3</v>
      </c>
      <c r="F498" t="s">
        <v>87</v>
      </c>
      <c r="G498">
        <v>7.19</v>
      </c>
    </row>
    <row r="499" spans="1:7">
      <c r="A499" s="1">
        <v>44593</v>
      </c>
      <c r="B499" s="1" t="str">
        <f t="shared" si="14"/>
        <v>Before 5G</v>
      </c>
      <c r="C499">
        <v>700001</v>
      </c>
      <c r="D499" t="str">
        <f t="shared" si="15"/>
        <v>Kolkata</v>
      </c>
      <c r="E499">
        <v>255.04</v>
      </c>
      <c r="F499" t="s">
        <v>87</v>
      </c>
      <c r="G499">
        <v>7.72</v>
      </c>
    </row>
    <row r="500" spans="1:7">
      <c r="A500" s="1">
        <v>44593</v>
      </c>
      <c r="B500" s="1" t="str">
        <f t="shared" si="14"/>
        <v>Before 5G</v>
      </c>
      <c r="C500">
        <v>560001</v>
      </c>
      <c r="D500" t="str">
        <f t="shared" si="15"/>
        <v>Bangalore</v>
      </c>
      <c r="E500">
        <v>224.3</v>
      </c>
      <c r="F500" t="s">
        <v>87</v>
      </c>
      <c r="G500">
        <v>7.4</v>
      </c>
    </row>
    <row r="501" spans="1:7">
      <c r="A501" s="1">
        <v>44593</v>
      </c>
      <c r="B501" s="1" t="str">
        <f t="shared" si="14"/>
        <v>Before 5G</v>
      </c>
      <c r="C501">
        <v>600001</v>
      </c>
      <c r="D501" t="str">
        <f t="shared" si="15"/>
        <v>Chennai</v>
      </c>
      <c r="E501">
        <v>191.44</v>
      </c>
      <c r="F501" t="s">
        <v>87</v>
      </c>
      <c r="G501">
        <v>7.97</v>
      </c>
    </row>
    <row r="502" spans="1:7">
      <c r="A502" s="1">
        <v>44593</v>
      </c>
      <c r="B502" s="1" t="str">
        <f t="shared" si="14"/>
        <v>Before 5G</v>
      </c>
      <c r="C502">
        <v>500001</v>
      </c>
      <c r="D502" t="str">
        <f t="shared" si="15"/>
        <v>Hyderabad</v>
      </c>
      <c r="E502">
        <v>170.66</v>
      </c>
      <c r="F502" t="s">
        <v>87</v>
      </c>
      <c r="G502">
        <v>6.16</v>
      </c>
    </row>
    <row r="503" spans="1:7">
      <c r="A503" s="1">
        <v>44593</v>
      </c>
      <c r="B503" s="1" t="str">
        <f t="shared" si="14"/>
        <v>Before 5G</v>
      </c>
      <c r="C503">
        <v>411001</v>
      </c>
      <c r="D503" t="str">
        <f t="shared" si="15"/>
        <v>Pune</v>
      </c>
      <c r="E503">
        <v>162.18</v>
      </c>
      <c r="F503" t="s">
        <v>87</v>
      </c>
      <c r="G503">
        <v>7.47</v>
      </c>
    </row>
    <row r="504" spans="1:7">
      <c r="A504" s="1">
        <v>44593</v>
      </c>
      <c r="B504" s="1" t="str">
        <f t="shared" si="14"/>
        <v>Before 5G</v>
      </c>
      <c r="C504">
        <v>380001</v>
      </c>
      <c r="D504" t="str">
        <f t="shared" si="15"/>
        <v>Ahmedabad</v>
      </c>
      <c r="E504">
        <v>126.35</v>
      </c>
      <c r="F504" t="s">
        <v>87</v>
      </c>
      <c r="G504">
        <v>8.0399999999999991</v>
      </c>
    </row>
    <row r="505" spans="1:7">
      <c r="A505" s="1">
        <v>44593</v>
      </c>
      <c r="B505" s="1" t="str">
        <f t="shared" si="14"/>
        <v>Before 5G</v>
      </c>
      <c r="C505">
        <v>302001</v>
      </c>
      <c r="D505" t="str">
        <f t="shared" si="15"/>
        <v>Jaipur</v>
      </c>
      <c r="E505">
        <v>90.74</v>
      </c>
      <c r="F505" t="s">
        <v>87</v>
      </c>
      <c r="G505">
        <v>6.13</v>
      </c>
    </row>
    <row r="506" spans="1:7">
      <c r="A506" s="1">
        <v>44593</v>
      </c>
      <c r="B506" s="1" t="str">
        <f t="shared" si="14"/>
        <v>Before 5G</v>
      </c>
      <c r="C506">
        <v>226001</v>
      </c>
      <c r="D506" t="str">
        <f t="shared" si="15"/>
        <v>Lucknow</v>
      </c>
      <c r="E506">
        <v>77.59</v>
      </c>
      <c r="F506" t="s">
        <v>87</v>
      </c>
      <c r="G506">
        <v>5.55</v>
      </c>
    </row>
    <row r="507" spans="1:7">
      <c r="A507" s="1">
        <v>44593</v>
      </c>
      <c r="B507" s="1" t="str">
        <f t="shared" si="14"/>
        <v>Before 5G</v>
      </c>
      <c r="C507">
        <v>800008</v>
      </c>
      <c r="D507" t="str">
        <f t="shared" si="15"/>
        <v>Patna</v>
      </c>
      <c r="E507">
        <v>64.02</v>
      </c>
      <c r="F507" t="s">
        <v>87</v>
      </c>
      <c r="G507">
        <v>7.63</v>
      </c>
    </row>
    <row r="508" spans="1:7">
      <c r="A508" s="1">
        <v>44593</v>
      </c>
      <c r="B508" s="1" t="str">
        <f t="shared" si="14"/>
        <v>Before 5G</v>
      </c>
      <c r="C508">
        <v>641001</v>
      </c>
      <c r="D508" t="str">
        <f t="shared" si="15"/>
        <v>Coimbatore</v>
      </c>
      <c r="E508">
        <v>57.66</v>
      </c>
      <c r="F508" t="s">
        <v>87</v>
      </c>
      <c r="G508">
        <v>7.4</v>
      </c>
    </row>
    <row r="509" spans="1:7">
      <c r="A509" s="1">
        <v>44593</v>
      </c>
      <c r="B509" s="1" t="str">
        <f t="shared" si="14"/>
        <v>Before 5G</v>
      </c>
      <c r="C509">
        <v>160017</v>
      </c>
      <c r="D509" t="str">
        <f t="shared" si="15"/>
        <v>Chandigarh</v>
      </c>
      <c r="E509">
        <v>41.98</v>
      </c>
      <c r="F509" t="s">
        <v>87</v>
      </c>
      <c r="G509">
        <v>8.8800000000000008</v>
      </c>
    </row>
    <row r="510" spans="1:7">
      <c r="A510" s="1">
        <v>44593</v>
      </c>
      <c r="B510" s="1" t="str">
        <f t="shared" si="14"/>
        <v>Before 5G</v>
      </c>
      <c r="C510">
        <v>122001</v>
      </c>
      <c r="D510" t="str">
        <f t="shared" si="15"/>
        <v>Gurgaon</v>
      </c>
      <c r="E510">
        <v>32.01</v>
      </c>
      <c r="F510" t="s">
        <v>87</v>
      </c>
      <c r="G510">
        <v>8.4499999999999993</v>
      </c>
    </row>
    <row r="511" spans="1:7">
      <c r="A511" s="1">
        <v>44593</v>
      </c>
      <c r="B511" s="1" t="str">
        <f t="shared" si="14"/>
        <v>Before 5G</v>
      </c>
      <c r="C511">
        <v>492001</v>
      </c>
      <c r="D511" t="str">
        <f t="shared" si="15"/>
        <v>Raipur</v>
      </c>
      <c r="E511">
        <v>20.14</v>
      </c>
      <c r="F511" t="s">
        <v>87</v>
      </c>
      <c r="G511">
        <v>6.51</v>
      </c>
    </row>
    <row r="512" spans="1:7">
      <c r="A512" s="1">
        <v>44621</v>
      </c>
      <c r="B512" s="1" t="str">
        <f t="shared" si="14"/>
        <v>Before 5G</v>
      </c>
      <c r="C512">
        <v>400001</v>
      </c>
      <c r="D512" t="str">
        <f t="shared" si="15"/>
        <v>Mumbai</v>
      </c>
      <c r="E512">
        <v>305.81</v>
      </c>
      <c r="F512" t="s">
        <v>87</v>
      </c>
      <c r="G512">
        <v>7.24</v>
      </c>
    </row>
    <row r="513" spans="1:7">
      <c r="A513" s="1">
        <v>44621</v>
      </c>
      <c r="B513" s="1" t="str">
        <f t="shared" si="14"/>
        <v>Before 5G</v>
      </c>
      <c r="C513">
        <v>110001</v>
      </c>
      <c r="D513" t="str">
        <f t="shared" si="15"/>
        <v>Delhi</v>
      </c>
      <c r="E513">
        <v>258.07</v>
      </c>
      <c r="F513" t="s">
        <v>87</v>
      </c>
      <c r="G513">
        <v>8.17</v>
      </c>
    </row>
    <row r="514" spans="1:7">
      <c r="A514" s="1">
        <v>44621</v>
      </c>
      <c r="B514" s="1" t="str">
        <f t="shared" si="14"/>
        <v>Before 5G</v>
      </c>
      <c r="C514">
        <v>700001</v>
      </c>
      <c r="D514" t="str">
        <f t="shared" si="15"/>
        <v>Kolkata</v>
      </c>
      <c r="E514">
        <v>237.35</v>
      </c>
      <c r="F514" t="s">
        <v>87</v>
      </c>
      <c r="G514">
        <v>7.15</v>
      </c>
    </row>
    <row r="515" spans="1:7">
      <c r="A515" s="1">
        <v>44621</v>
      </c>
      <c r="B515" s="1" t="str">
        <f t="shared" ref="B515:B578" si="16">VLOOKUP(A515,$I$2:$K$9,3,FALSE)</f>
        <v>Before 5G</v>
      </c>
      <c r="C515">
        <v>560001</v>
      </c>
      <c r="D515" t="str">
        <f t="shared" ref="D515:D578" si="17">VLOOKUP(C515,$O$2:$P$16,2,FALSE)</f>
        <v>Bangalore</v>
      </c>
      <c r="E515">
        <v>208.74</v>
      </c>
      <c r="F515" t="s">
        <v>87</v>
      </c>
      <c r="G515">
        <v>6.86</v>
      </c>
    </row>
    <row r="516" spans="1:7">
      <c r="A516" s="1">
        <v>44621</v>
      </c>
      <c r="B516" s="1" t="str">
        <f t="shared" si="16"/>
        <v>Before 5G</v>
      </c>
      <c r="C516">
        <v>600001</v>
      </c>
      <c r="D516" t="str">
        <f t="shared" si="17"/>
        <v>Chennai</v>
      </c>
      <c r="E516">
        <v>178.16</v>
      </c>
      <c r="F516" t="s">
        <v>87</v>
      </c>
      <c r="G516">
        <v>6.13</v>
      </c>
    </row>
    <row r="517" spans="1:7">
      <c r="A517" s="1">
        <v>44621</v>
      </c>
      <c r="B517" s="1" t="str">
        <f t="shared" si="16"/>
        <v>Before 5G</v>
      </c>
      <c r="C517">
        <v>500001</v>
      </c>
      <c r="D517" t="str">
        <f t="shared" si="17"/>
        <v>Hyderabad</v>
      </c>
      <c r="E517">
        <v>158.83000000000001</v>
      </c>
      <c r="F517" t="s">
        <v>87</v>
      </c>
      <c r="G517">
        <v>6.79</v>
      </c>
    </row>
    <row r="518" spans="1:7">
      <c r="A518" s="1">
        <v>44621</v>
      </c>
      <c r="B518" s="1" t="str">
        <f t="shared" si="16"/>
        <v>Before 5G</v>
      </c>
      <c r="C518">
        <v>411001</v>
      </c>
      <c r="D518" t="str">
        <f t="shared" si="17"/>
        <v>Pune</v>
      </c>
      <c r="E518">
        <v>150.93</v>
      </c>
      <c r="F518" t="s">
        <v>87</v>
      </c>
      <c r="G518">
        <v>7.37</v>
      </c>
    </row>
    <row r="519" spans="1:7">
      <c r="A519" s="1">
        <v>44621</v>
      </c>
      <c r="B519" s="1" t="str">
        <f t="shared" si="16"/>
        <v>Before 5G</v>
      </c>
      <c r="C519">
        <v>380001</v>
      </c>
      <c r="D519" t="str">
        <f t="shared" si="17"/>
        <v>Ahmedabad</v>
      </c>
      <c r="E519">
        <v>117.59</v>
      </c>
      <c r="F519" t="s">
        <v>87</v>
      </c>
      <c r="G519">
        <v>6.99</v>
      </c>
    </row>
    <row r="520" spans="1:7">
      <c r="A520" s="1">
        <v>44621</v>
      </c>
      <c r="B520" s="1" t="str">
        <f t="shared" si="16"/>
        <v>Before 5G</v>
      </c>
      <c r="C520">
        <v>302001</v>
      </c>
      <c r="D520" t="str">
        <f t="shared" si="17"/>
        <v>Jaipur</v>
      </c>
      <c r="E520">
        <v>84.44</v>
      </c>
      <c r="F520" t="s">
        <v>87</v>
      </c>
      <c r="G520">
        <v>5.46</v>
      </c>
    </row>
    <row r="521" spans="1:7">
      <c r="A521" s="1">
        <v>44621</v>
      </c>
      <c r="B521" s="1" t="str">
        <f t="shared" si="16"/>
        <v>Before 5G</v>
      </c>
      <c r="C521">
        <v>226001</v>
      </c>
      <c r="D521" t="str">
        <f t="shared" si="17"/>
        <v>Lucknow</v>
      </c>
      <c r="E521">
        <v>72.209999999999994</v>
      </c>
      <c r="F521" t="s">
        <v>87</v>
      </c>
      <c r="G521">
        <v>7.84</v>
      </c>
    </row>
    <row r="522" spans="1:7">
      <c r="A522" s="1">
        <v>44621</v>
      </c>
      <c r="B522" s="1" t="str">
        <f t="shared" si="16"/>
        <v>Before 5G</v>
      </c>
      <c r="C522">
        <v>800008</v>
      </c>
      <c r="D522" t="str">
        <f t="shared" si="17"/>
        <v>Patna</v>
      </c>
      <c r="E522">
        <v>59.58</v>
      </c>
      <c r="F522" t="s">
        <v>87</v>
      </c>
      <c r="G522">
        <v>6.33</v>
      </c>
    </row>
    <row r="523" spans="1:7">
      <c r="A523" s="1">
        <v>44621</v>
      </c>
      <c r="B523" s="1" t="str">
        <f t="shared" si="16"/>
        <v>Before 5G</v>
      </c>
      <c r="C523">
        <v>641001</v>
      </c>
      <c r="D523" t="str">
        <f t="shared" si="17"/>
        <v>Coimbatore</v>
      </c>
      <c r="E523">
        <v>53.67</v>
      </c>
      <c r="F523" t="s">
        <v>87</v>
      </c>
      <c r="G523">
        <v>8.73</v>
      </c>
    </row>
    <row r="524" spans="1:7">
      <c r="A524" s="1">
        <v>44621</v>
      </c>
      <c r="B524" s="1" t="str">
        <f t="shared" si="16"/>
        <v>Before 5G</v>
      </c>
      <c r="C524">
        <v>160017</v>
      </c>
      <c r="D524" t="str">
        <f t="shared" si="17"/>
        <v>Chandigarh</v>
      </c>
      <c r="E524">
        <v>39.07</v>
      </c>
      <c r="F524" t="s">
        <v>87</v>
      </c>
      <c r="G524">
        <v>9.15</v>
      </c>
    </row>
    <row r="525" spans="1:7">
      <c r="A525" s="1">
        <v>44621</v>
      </c>
      <c r="B525" s="1" t="str">
        <f t="shared" si="16"/>
        <v>Before 5G</v>
      </c>
      <c r="C525">
        <v>122001</v>
      </c>
      <c r="D525" t="str">
        <f t="shared" si="17"/>
        <v>Gurgaon</v>
      </c>
      <c r="E525">
        <v>29.79</v>
      </c>
      <c r="F525" t="s">
        <v>87</v>
      </c>
      <c r="G525">
        <v>6.75</v>
      </c>
    </row>
    <row r="526" spans="1:7">
      <c r="A526" s="1">
        <v>44621</v>
      </c>
      <c r="B526" s="1" t="str">
        <f t="shared" si="16"/>
        <v>Before 5G</v>
      </c>
      <c r="C526">
        <v>492001</v>
      </c>
      <c r="D526" t="str">
        <f t="shared" si="17"/>
        <v>Raipur</v>
      </c>
      <c r="E526">
        <v>18.739999999999998</v>
      </c>
      <c r="F526" t="s">
        <v>87</v>
      </c>
      <c r="G526">
        <v>7.7</v>
      </c>
    </row>
    <row r="527" spans="1:7">
      <c r="A527" s="1">
        <v>44652</v>
      </c>
      <c r="B527" s="1" t="str">
        <f t="shared" si="16"/>
        <v>Before 5G</v>
      </c>
      <c r="C527">
        <v>400001</v>
      </c>
      <c r="D527" t="str">
        <f t="shared" si="17"/>
        <v>Mumbai</v>
      </c>
      <c r="E527">
        <v>324.26</v>
      </c>
      <c r="F527" t="s">
        <v>87</v>
      </c>
      <c r="G527">
        <v>7.22</v>
      </c>
    </row>
    <row r="528" spans="1:7">
      <c r="A528" s="1">
        <v>44652</v>
      </c>
      <c r="B528" s="1" t="str">
        <f t="shared" si="16"/>
        <v>Before 5G</v>
      </c>
      <c r="C528">
        <v>110001</v>
      </c>
      <c r="D528" t="str">
        <f t="shared" si="17"/>
        <v>Delhi</v>
      </c>
      <c r="E528">
        <v>273.63</v>
      </c>
      <c r="F528" t="s">
        <v>87</v>
      </c>
      <c r="G528">
        <v>5.86</v>
      </c>
    </row>
    <row r="529" spans="1:7">
      <c r="A529" s="1">
        <v>44652</v>
      </c>
      <c r="B529" s="1" t="str">
        <f t="shared" si="16"/>
        <v>Before 5G</v>
      </c>
      <c r="C529">
        <v>700001</v>
      </c>
      <c r="D529" t="str">
        <f t="shared" si="17"/>
        <v>Kolkata</v>
      </c>
      <c r="E529">
        <v>251.67</v>
      </c>
      <c r="F529" t="s">
        <v>87</v>
      </c>
      <c r="G529">
        <v>6.4</v>
      </c>
    </row>
    <row r="530" spans="1:7">
      <c r="A530" s="1">
        <v>44652</v>
      </c>
      <c r="B530" s="1" t="str">
        <f t="shared" si="16"/>
        <v>Before 5G</v>
      </c>
      <c r="C530">
        <v>560001</v>
      </c>
      <c r="D530" t="str">
        <f t="shared" si="17"/>
        <v>Bangalore</v>
      </c>
      <c r="E530">
        <v>221.33</v>
      </c>
      <c r="F530" t="s">
        <v>87</v>
      </c>
      <c r="G530">
        <v>7.79</v>
      </c>
    </row>
    <row r="531" spans="1:7">
      <c r="A531" s="1">
        <v>44652</v>
      </c>
      <c r="B531" s="1" t="str">
        <f t="shared" si="16"/>
        <v>Before 5G</v>
      </c>
      <c r="C531">
        <v>600001</v>
      </c>
      <c r="D531" t="str">
        <f t="shared" si="17"/>
        <v>Chennai</v>
      </c>
      <c r="E531">
        <v>188.91</v>
      </c>
      <c r="F531" t="s">
        <v>87</v>
      </c>
      <c r="G531">
        <v>7.67</v>
      </c>
    </row>
    <row r="532" spans="1:7">
      <c r="A532" s="1">
        <v>44652</v>
      </c>
      <c r="B532" s="1" t="str">
        <f t="shared" si="16"/>
        <v>Before 5G</v>
      </c>
      <c r="C532">
        <v>500001</v>
      </c>
      <c r="D532" t="str">
        <f t="shared" si="17"/>
        <v>Hyderabad</v>
      </c>
      <c r="E532">
        <v>168.41</v>
      </c>
      <c r="F532" t="s">
        <v>87</v>
      </c>
      <c r="G532">
        <v>8.82</v>
      </c>
    </row>
    <row r="533" spans="1:7">
      <c r="A533" s="1">
        <v>44652</v>
      </c>
      <c r="B533" s="1" t="str">
        <f t="shared" si="16"/>
        <v>Before 5G</v>
      </c>
      <c r="C533">
        <v>411001</v>
      </c>
      <c r="D533" t="str">
        <f t="shared" si="17"/>
        <v>Pune</v>
      </c>
      <c r="E533">
        <v>160.04</v>
      </c>
      <c r="F533" t="s">
        <v>87</v>
      </c>
      <c r="G533">
        <v>6.47</v>
      </c>
    </row>
    <row r="534" spans="1:7">
      <c r="A534" s="1">
        <v>44652</v>
      </c>
      <c r="B534" s="1" t="str">
        <f t="shared" si="16"/>
        <v>Before 5G</v>
      </c>
      <c r="C534">
        <v>380001</v>
      </c>
      <c r="D534" t="str">
        <f t="shared" si="17"/>
        <v>Ahmedabad</v>
      </c>
      <c r="E534">
        <v>124.68</v>
      </c>
      <c r="F534" t="s">
        <v>87</v>
      </c>
      <c r="G534">
        <v>6.64</v>
      </c>
    </row>
    <row r="535" spans="1:7">
      <c r="A535" s="1">
        <v>44652</v>
      </c>
      <c r="B535" s="1" t="str">
        <f t="shared" si="16"/>
        <v>Before 5G</v>
      </c>
      <c r="C535">
        <v>302001</v>
      </c>
      <c r="D535" t="str">
        <f t="shared" si="17"/>
        <v>Jaipur</v>
      </c>
      <c r="E535">
        <v>89.54</v>
      </c>
      <c r="F535" t="s">
        <v>87</v>
      </c>
      <c r="G535">
        <v>7.06</v>
      </c>
    </row>
    <row r="536" spans="1:7">
      <c r="A536" s="1">
        <v>44652</v>
      </c>
      <c r="B536" s="1" t="str">
        <f t="shared" si="16"/>
        <v>Before 5G</v>
      </c>
      <c r="C536">
        <v>226001</v>
      </c>
      <c r="D536" t="str">
        <f t="shared" si="17"/>
        <v>Lucknow</v>
      </c>
      <c r="E536">
        <v>76.569999999999993</v>
      </c>
      <c r="F536" t="s">
        <v>87</v>
      </c>
      <c r="G536">
        <v>6.33</v>
      </c>
    </row>
    <row r="537" spans="1:7">
      <c r="A537" s="1">
        <v>44652</v>
      </c>
      <c r="B537" s="1" t="str">
        <f t="shared" si="16"/>
        <v>Before 5G</v>
      </c>
      <c r="C537">
        <v>800008</v>
      </c>
      <c r="D537" t="str">
        <f t="shared" si="17"/>
        <v>Patna</v>
      </c>
      <c r="E537">
        <v>63.18</v>
      </c>
      <c r="F537" t="s">
        <v>87</v>
      </c>
      <c r="G537">
        <v>5.77</v>
      </c>
    </row>
    <row r="538" spans="1:7">
      <c r="A538" s="1">
        <v>44652</v>
      </c>
      <c r="B538" s="1" t="str">
        <f t="shared" si="16"/>
        <v>Before 5G</v>
      </c>
      <c r="C538">
        <v>641001</v>
      </c>
      <c r="D538" t="str">
        <f t="shared" si="17"/>
        <v>Coimbatore</v>
      </c>
      <c r="E538">
        <v>56.9</v>
      </c>
      <c r="F538" t="s">
        <v>87</v>
      </c>
      <c r="G538">
        <v>7.11</v>
      </c>
    </row>
    <row r="539" spans="1:7">
      <c r="A539" s="1">
        <v>44652</v>
      </c>
      <c r="B539" s="1" t="str">
        <f t="shared" si="16"/>
        <v>Before 5G</v>
      </c>
      <c r="C539">
        <v>160017</v>
      </c>
      <c r="D539" t="str">
        <f t="shared" si="17"/>
        <v>Chandigarh</v>
      </c>
      <c r="E539">
        <v>41.42</v>
      </c>
      <c r="F539" t="s">
        <v>87</v>
      </c>
      <c r="G539">
        <v>7.16</v>
      </c>
    </row>
    <row r="540" spans="1:7">
      <c r="A540" s="1">
        <v>44652</v>
      </c>
      <c r="B540" s="1" t="str">
        <f t="shared" si="16"/>
        <v>Before 5G</v>
      </c>
      <c r="C540">
        <v>122001</v>
      </c>
      <c r="D540" t="str">
        <f t="shared" si="17"/>
        <v>Gurgaon</v>
      </c>
      <c r="E540">
        <v>31.59</v>
      </c>
      <c r="F540" t="s">
        <v>87</v>
      </c>
      <c r="G540">
        <v>7.16</v>
      </c>
    </row>
    <row r="541" spans="1:7">
      <c r="A541" s="1">
        <v>44652</v>
      </c>
      <c r="B541" s="1" t="str">
        <f t="shared" si="16"/>
        <v>Before 5G</v>
      </c>
      <c r="C541">
        <v>492001</v>
      </c>
      <c r="D541" t="str">
        <f t="shared" si="17"/>
        <v>Raipur</v>
      </c>
      <c r="E541">
        <v>19.87</v>
      </c>
      <c r="F541" t="s">
        <v>87</v>
      </c>
      <c r="G541">
        <v>7.7</v>
      </c>
    </row>
    <row r="542" spans="1:7">
      <c r="A542" s="1">
        <v>44713</v>
      </c>
      <c r="B542" s="1" t="str">
        <f t="shared" si="16"/>
        <v>After 5G</v>
      </c>
      <c r="C542">
        <v>400001</v>
      </c>
      <c r="D542" t="str">
        <f t="shared" si="17"/>
        <v>Mumbai</v>
      </c>
      <c r="E542">
        <v>308</v>
      </c>
      <c r="F542" t="s">
        <v>87</v>
      </c>
      <c r="G542">
        <v>7.62</v>
      </c>
    </row>
    <row r="543" spans="1:7">
      <c r="A543" s="1">
        <v>44713</v>
      </c>
      <c r="B543" s="1" t="str">
        <f t="shared" si="16"/>
        <v>After 5G</v>
      </c>
      <c r="C543">
        <v>110001</v>
      </c>
      <c r="D543" t="str">
        <f t="shared" si="17"/>
        <v>Delhi</v>
      </c>
      <c r="E543">
        <v>253.61</v>
      </c>
      <c r="F543" t="s">
        <v>87</v>
      </c>
      <c r="G543">
        <v>6.66</v>
      </c>
    </row>
    <row r="544" spans="1:7">
      <c r="A544" s="1">
        <v>44713</v>
      </c>
      <c r="B544" s="1" t="str">
        <f t="shared" si="16"/>
        <v>After 5G</v>
      </c>
      <c r="C544">
        <v>700001</v>
      </c>
      <c r="D544" t="str">
        <f t="shared" si="17"/>
        <v>Kolkata</v>
      </c>
      <c r="E544">
        <v>235.88</v>
      </c>
      <c r="F544" t="s">
        <v>87</v>
      </c>
      <c r="G544">
        <v>8.0299999999999994</v>
      </c>
    </row>
    <row r="545" spans="1:7">
      <c r="A545" s="1">
        <v>44713</v>
      </c>
      <c r="B545" s="1" t="str">
        <f t="shared" si="16"/>
        <v>After 5G</v>
      </c>
      <c r="C545">
        <v>560001</v>
      </c>
      <c r="D545" t="str">
        <f t="shared" si="17"/>
        <v>Bangalore</v>
      </c>
      <c r="E545">
        <v>211.24</v>
      </c>
      <c r="F545" t="s">
        <v>87</v>
      </c>
      <c r="G545">
        <v>5.54</v>
      </c>
    </row>
    <row r="546" spans="1:7">
      <c r="A546" s="1">
        <v>44713</v>
      </c>
      <c r="B546" s="1" t="str">
        <f t="shared" si="16"/>
        <v>After 5G</v>
      </c>
      <c r="C546">
        <v>600001</v>
      </c>
      <c r="D546" t="str">
        <f t="shared" si="17"/>
        <v>Chennai</v>
      </c>
      <c r="E546">
        <v>174.99</v>
      </c>
      <c r="F546" t="s">
        <v>87</v>
      </c>
      <c r="G546">
        <v>7.12</v>
      </c>
    </row>
    <row r="547" spans="1:7">
      <c r="A547" s="1">
        <v>44713</v>
      </c>
      <c r="B547" s="1" t="str">
        <f t="shared" si="16"/>
        <v>After 5G</v>
      </c>
      <c r="C547">
        <v>500001</v>
      </c>
      <c r="D547" t="str">
        <f t="shared" si="17"/>
        <v>Hyderabad</v>
      </c>
      <c r="E547">
        <v>157.63999999999999</v>
      </c>
      <c r="F547" t="s">
        <v>87</v>
      </c>
      <c r="G547">
        <v>7.46</v>
      </c>
    </row>
    <row r="548" spans="1:7">
      <c r="A548" s="1">
        <v>44713</v>
      </c>
      <c r="B548" s="1" t="str">
        <f t="shared" si="16"/>
        <v>After 5G</v>
      </c>
      <c r="C548">
        <v>411001</v>
      </c>
      <c r="D548" t="str">
        <f t="shared" si="17"/>
        <v>Pune</v>
      </c>
      <c r="E548">
        <v>152.13</v>
      </c>
      <c r="F548" t="s">
        <v>87</v>
      </c>
      <c r="G548">
        <v>8.5399999999999991</v>
      </c>
    </row>
    <row r="549" spans="1:7">
      <c r="A549" s="1">
        <v>44713</v>
      </c>
      <c r="B549" s="1" t="str">
        <f t="shared" si="16"/>
        <v>After 5G</v>
      </c>
      <c r="C549">
        <v>380001</v>
      </c>
      <c r="D549" t="str">
        <f t="shared" si="17"/>
        <v>Ahmedabad</v>
      </c>
      <c r="E549">
        <v>115.47</v>
      </c>
      <c r="F549" t="s">
        <v>87</v>
      </c>
      <c r="G549">
        <v>6.62</v>
      </c>
    </row>
    <row r="550" spans="1:7">
      <c r="A550" s="1">
        <v>44713</v>
      </c>
      <c r="B550" s="1" t="str">
        <f t="shared" si="16"/>
        <v>After 5G</v>
      </c>
      <c r="C550">
        <v>302001</v>
      </c>
      <c r="D550" t="str">
        <f t="shared" si="17"/>
        <v>Jaipur</v>
      </c>
      <c r="E550">
        <v>85.72</v>
      </c>
      <c r="F550" t="s">
        <v>87</v>
      </c>
      <c r="G550">
        <v>6.45</v>
      </c>
    </row>
    <row r="551" spans="1:7">
      <c r="A551" s="1">
        <v>44713</v>
      </c>
      <c r="B551" s="1" t="str">
        <f t="shared" si="16"/>
        <v>After 5G</v>
      </c>
      <c r="C551">
        <v>226001</v>
      </c>
      <c r="D551" t="str">
        <f t="shared" si="17"/>
        <v>Lucknow</v>
      </c>
      <c r="E551">
        <v>73.7</v>
      </c>
      <c r="F551" t="s">
        <v>87</v>
      </c>
      <c r="G551">
        <v>5.41</v>
      </c>
    </row>
    <row r="552" spans="1:7">
      <c r="A552" s="1">
        <v>44713</v>
      </c>
      <c r="B552" s="1" t="str">
        <f t="shared" si="16"/>
        <v>After 5G</v>
      </c>
      <c r="C552">
        <v>800008</v>
      </c>
      <c r="D552" t="str">
        <f t="shared" si="17"/>
        <v>Patna</v>
      </c>
      <c r="E552">
        <v>60.5</v>
      </c>
      <c r="F552" t="s">
        <v>87</v>
      </c>
      <c r="G552">
        <v>7.48</v>
      </c>
    </row>
    <row r="553" spans="1:7">
      <c r="A553" s="1">
        <v>44713</v>
      </c>
      <c r="B553" s="1" t="str">
        <f t="shared" si="16"/>
        <v>After 5G</v>
      </c>
      <c r="C553">
        <v>641001</v>
      </c>
      <c r="D553" t="str">
        <f t="shared" si="17"/>
        <v>Coimbatore</v>
      </c>
      <c r="E553">
        <v>53.6</v>
      </c>
      <c r="F553" t="s">
        <v>87</v>
      </c>
      <c r="G553">
        <v>9.11</v>
      </c>
    </row>
    <row r="554" spans="1:7">
      <c r="A554" s="1">
        <v>44713</v>
      </c>
      <c r="B554" s="1" t="str">
        <f t="shared" si="16"/>
        <v>After 5G</v>
      </c>
      <c r="C554">
        <v>160017</v>
      </c>
      <c r="D554" t="str">
        <f t="shared" si="17"/>
        <v>Chandigarh</v>
      </c>
      <c r="E554">
        <v>39.020000000000003</v>
      </c>
      <c r="F554" t="s">
        <v>87</v>
      </c>
      <c r="G554">
        <v>8.91</v>
      </c>
    </row>
    <row r="555" spans="1:7">
      <c r="A555" s="1">
        <v>44713</v>
      </c>
      <c r="B555" s="1" t="str">
        <f t="shared" si="16"/>
        <v>After 5G</v>
      </c>
      <c r="C555">
        <v>122001</v>
      </c>
      <c r="D555" t="str">
        <f t="shared" si="17"/>
        <v>Gurgaon</v>
      </c>
      <c r="E555">
        <v>30.35</v>
      </c>
      <c r="F555" t="s">
        <v>87</v>
      </c>
      <c r="G555">
        <v>8.06</v>
      </c>
    </row>
    <row r="556" spans="1:7">
      <c r="A556" s="1">
        <v>44713</v>
      </c>
      <c r="B556" s="1" t="str">
        <f t="shared" si="16"/>
        <v>After 5G</v>
      </c>
      <c r="C556">
        <v>492001</v>
      </c>
      <c r="D556" t="str">
        <f t="shared" si="17"/>
        <v>Raipur</v>
      </c>
      <c r="E556">
        <v>18.920000000000002</v>
      </c>
      <c r="F556" t="s">
        <v>87</v>
      </c>
      <c r="G556">
        <v>6.69</v>
      </c>
    </row>
    <row r="557" spans="1:7">
      <c r="A557" s="1">
        <v>44743</v>
      </c>
      <c r="B557" s="1" t="str">
        <f t="shared" si="16"/>
        <v>After 5G</v>
      </c>
      <c r="C557">
        <v>400001</v>
      </c>
      <c r="D557" t="str">
        <f t="shared" si="17"/>
        <v>Mumbai</v>
      </c>
      <c r="E557">
        <v>348.85</v>
      </c>
      <c r="F557" t="s">
        <v>87</v>
      </c>
      <c r="G557">
        <v>5.76</v>
      </c>
    </row>
    <row r="558" spans="1:7">
      <c r="A558" s="1">
        <v>44743</v>
      </c>
      <c r="B558" s="1" t="str">
        <f t="shared" si="16"/>
        <v>After 5G</v>
      </c>
      <c r="C558">
        <v>110001</v>
      </c>
      <c r="D558" t="str">
        <f t="shared" si="17"/>
        <v>Delhi</v>
      </c>
      <c r="E558">
        <v>287.25</v>
      </c>
      <c r="F558" t="s">
        <v>87</v>
      </c>
      <c r="G558">
        <v>7.34</v>
      </c>
    </row>
    <row r="559" spans="1:7">
      <c r="A559" s="1">
        <v>44743</v>
      </c>
      <c r="B559" s="1" t="str">
        <f t="shared" si="16"/>
        <v>After 5G</v>
      </c>
      <c r="C559">
        <v>700001</v>
      </c>
      <c r="D559" t="str">
        <f t="shared" si="17"/>
        <v>Kolkata</v>
      </c>
      <c r="E559">
        <v>267.16000000000003</v>
      </c>
      <c r="F559" t="s">
        <v>87</v>
      </c>
      <c r="G559">
        <v>7.83</v>
      </c>
    </row>
    <row r="560" spans="1:7">
      <c r="A560" s="1">
        <v>44743</v>
      </c>
      <c r="B560" s="1" t="str">
        <f t="shared" si="16"/>
        <v>After 5G</v>
      </c>
      <c r="C560">
        <v>560001</v>
      </c>
      <c r="D560" t="str">
        <f t="shared" si="17"/>
        <v>Bangalore</v>
      </c>
      <c r="E560">
        <v>239.26</v>
      </c>
      <c r="F560" t="s">
        <v>87</v>
      </c>
      <c r="G560">
        <v>7.56</v>
      </c>
    </row>
    <row r="561" spans="1:7">
      <c r="A561" s="1">
        <v>44743</v>
      </c>
      <c r="B561" s="1" t="str">
        <f t="shared" si="16"/>
        <v>After 5G</v>
      </c>
      <c r="C561">
        <v>600001</v>
      </c>
      <c r="D561" t="str">
        <f t="shared" si="17"/>
        <v>Chennai</v>
      </c>
      <c r="E561">
        <v>198.2</v>
      </c>
      <c r="F561" t="s">
        <v>87</v>
      </c>
      <c r="G561">
        <v>8.1999999999999993</v>
      </c>
    </row>
    <row r="562" spans="1:7">
      <c r="A562" s="1">
        <v>44743</v>
      </c>
      <c r="B562" s="1" t="str">
        <f t="shared" si="16"/>
        <v>After 5G</v>
      </c>
      <c r="C562">
        <v>500001</v>
      </c>
      <c r="D562" t="str">
        <f t="shared" si="17"/>
        <v>Hyderabad</v>
      </c>
      <c r="E562">
        <v>178.56</v>
      </c>
      <c r="F562" t="s">
        <v>87</v>
      </c>
      <c r="G562">
        <v>6.28</v>
      </c>
    </row>
    <row r="563" spans="1:7">
      <c r="A563" s="1">
        <v>44743</v>
      </c>
      <c r="B563" s="1" t="str">
        <f t="shared" si="16"/>
        <v>After 5G</v>
      </c>
      <c r="C563">
        <v>411001</v>
      </c>
      <c r="D563" t="str">
        <f t="shared" si="17"/>
        <v>Pune</v>
      </c>
      <c r="E563">
        <v>172.31</v>
      </c>
      <c r="F563" t="s">
        <v>87</v>
      </c>
      <c r="G563">
        <v>7.6</v>
      </c>
    </row>
    <row r="564" spans="1:7">
      <c r="A564" s="1">
        <v>44743</v>
      </c>
      <c r="B564" s="1" t="str">
        <f t="shared" si="16"/>
        <v>After 5G</v>
      </c>
      <c r="C564">
        <v>380001</v>
      </c>
      <c r="D564" t="str">
        <f t="shared" si="17"/>
        <v>Ahmedabad</v>
      </c>
      <c r="E564">
        <v>130.79</v>
      </c>
      <c r="F564" t="s">
        <v>87</v>
      </c>
      <c r="G564">
        <v>8.18</v>
      </c>
    </row>
    <row r="565" spans="1:7">
      <c r="A565" s="1">
        <v>44743</v>
      </c>
      <c r="B565" s="1" t="str">
        <f t="shared" si="16"/>
        <v>After 5G</v>
      </c>
      <c r="C565">
        <v>302001</v>
      </c>
      <c r="D565" t="str">
        <f t="shared" si="17"/>
        <v>Jaipur</v>
      </c>
      <c r="E565">
        <v>97.09</v>
      </c>
      <c r="F565" t="s">
        <v>87</v>
      </c>
      <c r="G565">
        <v>6.24</v>
      </c>
    </row>
    <row r="566" spans="1:7">
      <c r="A566" s="1">
        <v>44743</v>
      </c>
      <c r="B566" s="1" t="str">
        <f t="shared" si="16"/>
        <v>After 5G</v>
      </c>
      <c r="C566">
        <v>226001</v>
      </c>
      <c r="D566" t="str">
        <f t="shared" si="17"/>
        <v>Lucknow</v>
      </c>
      <c r="E566">
        <v>83.47</v>
      </c>
      <c r="F566" t="s">
        <v>87</v>
      </c>
      <c r="G566">
        <v>5.73</v>
      </c>
    </row>
    <row r="567" spans="1:7">
      <c r="A567" s="1">
        <v>44743</v>
      </c>
      <c r="B567" s="1" t="str">
        <f t="shared" si="16"/>
        <v>After 5G</v>
      </c>
      <c r="C567">
        <v>800008</v>
      </c>
      <c r="D567" t="str">
        <f t="shared" si="17"/>
        <v>Patna</v>
      </c>
      <c r="E567">
        <v>68.52</v>
      </c>
      <c r="F567" t="s">
        <v>87</v>
      </c>
      <c r="G567">
        <v>7.77</v>
      </c>
    </row>
    <row r="568" spans="1:7">
      <c r="A568" s="1">
        <v>44743</v>
      </c>
      <c r="B568" s="1" t="str">
        <f t="shared" si="16"/>
        <v>After 5G</v>
      </c>
      <c r="C568">
        <v>641001</v>
      </c>
      <c r="D568" t="str">
        <f t="shared" si="17"/>
        <v>Coimbatore</v>
      </c>
      <c r="E568">
        <v>60.71</v>
      </c>
      <c r="F568" t="s">
        <v>87</v>
      </c>
      <c r="G568">
        <v>7.56</v>
      </c>
    </row>
    <row r="569" spans="1:7">
      <c r="A569" s="1">
        <v>44743</v>
      </c>
      <c r="B569" s="1" t="str">
        <f t="shared" si="16"/>
        <v>After 5G</v>
      </c>
      <c r="C569">
        <v>160017</v>
      </c>
      <c r="D569" t="str">
        <f t="shared" si="17"/>
        <v>Chandigarh</v>
      </c>
      <c r="E569">
        <v>44.19</v>
      </c>
      <c r="F569" t="s">
        <v>87</v>
      </c>
      <c r="G569">
        <v>9.01</v>
      </c>
    </row>
    <row r="570" spans="1:7">
      <c r="A570" s="1">
        <v>44743</v>
      </c>
      <c r="B570" s="1" t="str">
        <f t="shared" si="16"/>
        <v>After 5G</v>
      </c>
      <c r="C570">
        <v>122001</v>
      </c>
      <c r="D570" t="str">
        <f t="shared" si="17"/>
        <v>Gurgaon</v>
      </c>
      <c r="E570">
        <v>34.369999999999997</v>
      </c>
      <c r="F570" t="s">
        <v>87</v>
      </c>
      <c r="G570">
        <v>8.7200000000000006</v>
      </c>
    </row>
    <row r="571" spans="1:7">
      <c r="A571" s="1">
        <v>44743</v>
      </c>
      <c r="B571" s="1" t="str">
        <f t="shared" si="16"/>
        <v>After 5G</v>
      </c>
      <c r="C571">
        <v>492001</v>
      </c>
      <c r="D571" t="str">
        <f t="shared" si="17"/>
        <v>Raipur</v>
      </c>
      <c r="E571">
        <v>21.43</v>
      </c>
      <c r="F571" t="s">
        <v>87</v>
      </c>
      <c r="G571">
        <v>6.63</v>
      </c>
    </row>
    <row r="572" spans="1:7">
      <c r="A572" s="1">
        <v>44774</v>
      </c>
      <c r="B572" s="1" t="str">
        <f t="shared" si="16"/>
        <v>After 5G</v>
      </c>
      <c r="C572">
        <v>400001</v>
      </c>
      <c r="D572" t="str">
        <f t="shared" si="17"/>
        <v>Mumbai</v>
      </c>
      <c r="E572">
        <v>333.45</v>
      </c>
      <c r="F572" t="s">
        <v>87</v>
      </c>
      <c r="G572">
        <v>7.35</v>
      </c>
    </row>
    <row r="573" spans="1:7">
      <c r="A573" s="1">
        <v>44774</v>
      </c>
      <c r="B573" s="1" t="str">
        <f t="shared" si="16"/>
        <v>After 5G</v>
      </c>
      <c r="C573">
        <v>110001</v>
      </c>
      <c r="D573" t="str">
        <f t="shared" si="17"/>
        <v>Delhi</v>
      </c>
      <c r="E573">
        <v>274.57</v>
      </c>
      <c r="F573" t="s">
        <v>87</v>
      </c>
      <c r="G573">
        <v>8.2899999999999991</v>
      </c>
    </row>
    <row r="574" spans="1:7">
      <c r="A574" s="1">
        <v>44774</v>
      </c>
      <c r="B574" s="1" t="str">
        <f t="shared" si="16"/>
        <v>After 5G</v>
      </c>
      <c r="C574">
        <v>700001</v>
      </c>
      <c r="D574" t="str">
        <f t="shared" si="17"/>
        <v>Kolkata</v>
      </c>
      <c r="E574">
        <v>255.37</v>
      </c>
      <c r="F574" t="s">
        <v>87</v>
      </c>
      <c r="G574">
        <v>7.28</v>
      </c>
    </row>
    <row r="575" spans="1:7">
      <c r="A575" s="1">
        <v>44774</v>
      </c>
      <c r="B575" s="1" t="str">
        <f t="shared" si="16"/>
        <v>After 5G</v>
      </c>
      <c r="C575">
        <v>560001</v>
      </c>
      <c r="D575" t="str">
        <f t="shared" si="17"/>
        <v>Bangalore</v>
      </c>
      <c r="E575">
        <v>228.7</v>
      </c>
      <c r="F575" t="s">
        <v>87</v>
      </c>
      <c r="G575">
        <v>6.95</v>
      </c>
    </row>
    <row r="576" spans="1:7">
      <c r="A576" s="1">
        <v>44774</v>
      </c>
      <c r="B576" s="1" t="str">
        <f t="shared" si="16"/>
        <v>After 5G</v>
      </c>
      <c r="C576">
        <v>600001</v>
      </c>
      <c r="D576" t="str">
        <f t="shared" si="17"/>
        <v>Chennai</v>
      </c>
      <c r="E576">
        <v>189.45</v>
      </c>
      <c r="F576" t="s">
        <v>87</v>
      </c>
      <c r="G576">
        <v>6.21</v>
      </c>
    </row>
    <row r="577" spans="1:7">
      <c r="A577" s="1">
        <v>44774</v>
      </c>
      <c r="B577" s="1" t="str">
        <f t="shared" si="16"/>
        <v>After 5G</v>
      </c>
      <c r="C577">
        <v>500001</v>
      </c>
      <c r="D577" t="str">
        <f t="shared" si="17"/>
        <v>Hyderabad</v>
      </c>
      <c r="E577">
        <v>170.67</v>
      </c>
      <c r="F577" t="s">
        <v>87</v>
      </c>
      <c r="G577">
        <v>6.87</v>
      </c>
    </row>
    <row r="578" spans="1:7">
      <c r="A578" s="1">
        <v>44774</v>
      </c>
      <c r="B578" s="1" t="str">
        <f t="shared" si="16"/>
        <v>After 5G</v>
      </c>
      <c r="C578">
        <v>411001</v>
      </c>
      <c r="D578" t="str">
        <f t="shared" si="17"/>
        <v>Pune</v>
      </c>
      <c r="E578">
        <v>164.7</v>
      </c>
      <c r="F578" t="s">
        <v>87</v>
      </c>
      <c r="G578">
        <v>7.48</v>
      </c>
    </row>
    <row r="579" spans="1:7">
      <c r="A579" s="1">
        <v>44774</v>
      </c>
      <c r="B579" s="1" t="str">
        <f t="shared" ref="B579:B601" si="18">VLOOKUP(A579,$I$2:$K$9,3,FALSE)</f>
        <v>After 5G</v>
      </c>
      <c r="C579">
        <v>380001</v>
      </c>
      <c r="D579" t="str">
        <f t="shared" ref="D579:D601" si="19">VLOOKUP(C579,$O$2:$P$16,2,FALSE)</f>
        <v>Ahmedabad</v>
      </c>
      <c r="E579">
        <v>125.02</v>
      </c>
      <c r="F579" t="s">
        <v>87</v>
      </c>
      <c r="G579">
        <v>7.11</v>
      </c>
    </row>
    <row r="580" spans="1:7">
      <c r="A580" s="1">
        <v>44774</v>
      </c>
      <c r="B580" s="1" t="str">
        <f t="shared" si="18"/>
        <v>After 5G</v>
      </c>
      <c r="C580">
        <v>302001</v>
      </c>
      <c r="D580" t="str">
        <f t="shared" si="19"/>
        <v>Jaipur</v>
      </c>
      <c r="E580">
        <v>92.8</v>
      </c>
      <c r="F580" t="s">
        <v>87</v>
      </c>
      <c r="G580">
        <v>5.54</v>
      </c>
    </row>
    <row r="581" spans="1:7">
      <c r="A581" s="1">
        <v>44774</v>
      </c>
      <c r="B581" s="1" t="str">
        <f t="shared" si="18"/>
        <v>After 5G</v>
      </c>
      <c r="C581">
        <v>226001</v>
      </c>
      <c r="D581" t="str">
        <f t="shared" si="19"/>
        <v>Lucknow</v>
      </c>
      <c r="E581">
        <v>79.790000000000006</v>
      </c>
      <c r="F581" t="s">
        <v>87</v>
      </c>
      <c r="G581">
        <v>7.94</v>
      </c>
    </row>
    <row r="582" spans="1:7">
      <c r="A582" s="1">
        <v>44774</v>
      </c>
      <c r="B582" s="1" t="str">
        <f t="shared" si="18"/>
        <v>After 5G</v>
      </c>
      <c r="C582">
        <v>800008</v>
      </c>
      <c r="D582" t="str">
        <f t="shared" si="19"/>
        <v>Patna</v>
      </c>
      <c r="E582">
        <v>65.5</v>
      </c>
      <c r="F582" t="s">
        <v>87</v>
      </c>
      <c r="G582">
        <v>6.4</v>
      </c>
    </row>
    <row r="583" spans="1:7">
      <c r="A583" s="1">
        <v>44774</v>
      </c>
      <c r="B583" s="1" t="str">
        <f t="shared" si="18"/>
        <v>After 5G</v>
      </c>
      <c r="C583">
        <v>641001</v>
      </c>
      <c r="D583" t="str">
        <f t="shared" si="19"/>
        <v>Coimbatore</v>
      </c>
      <c r="E583">
        <v>58.03</v>
      </c>
      <c r="F583" t="s">
        <v>87</v>
      </c>
      <c r="G583">
        <v>8.91</v>
      </c>
    </row>
    <row r="584" spans="1:7">
      <c r="A584" s="1">
        <v>44774</v>
      </c>
      <c r="B584" s="1" t="str">
        <f t="shared" si="18"/>
        <v>After 5G</v>
      </c>
      <c r="C584">
        <v>160017</v>
      </c>
      <c r="D584" t="str">
        <f t="shared" si="19"/>
        <v>Chandigarh</v>
      </c>
      <c r="E584">
        <v>42.24</v>
      </c>
      <c r="F584" t="s">
        <v>87</v>
      </c>
      <c r="G584">
        <v>9.27</v>
      </c>
    </row>
    <row r="585" spans="1:7">
      <c r="A585" s="1">
        <v>44774</v>
      </c>
      <c r="B585" s="1" t="str">
        <f t="shared" si="18"/>
        <v>After 5G</v>
      </c>
      <c r="C585">
        <v>122001</v>
      </c>
      <c r="D585" t="str">
        <f t="shared" si="19"/>
        <v>Gurgaon</v>
      </c>
      <c r="E585">
        <v>32.85</v>
      </c>
      <c r="F585" t="s">
        <v>87</v>
      </c>
      <c r="G585">
        <v>6.84</v>
      </c>
    </row>
    <row r="586" spans="1:7">
      <c r="A586" s="1">
        <v>44774</v>
      </c>
      <c r="B586" s="1" t="str">
        <f t="shared" si="18"/>
        <v>After 5G</v>
      </c>
      <c r="C586">
        <v>492001</v>
      </c>
      <c r="D586" t="str">
        <f t="shared" si="19"/>
        <v>Raipur</v>
      </c>
      <c r="E586">
        <v>20.48</v>
      </c>
      <c r="F586" t="s">
        <v>87</v>
      </c>
      <c r="G586">
        <v>7.79</v>
      </c>
    </row>
    <row r="587" spans="1:7">
      <c r="A587" s="1">
        <v>44805</v>
      </c>
      <c r="B587" s="1" t="str">
        <f t="shared" si="18"/>
        <v>After 5G</v>
      </c>
      <c r="C587">
        <v>400001</v>
      </c>
      <c r="D587" t="str">
        <f t="shared" si="19"/>
        <v>Mumbai</v>
      </c>
      <c r="E587">
        <v>349.97</v>
      </c>
      <c r="F587" t="s">
        <v>87</v>
      </c>
      <c r="G587">
        <v>7.36</v>
      </c>
    </row>
    <row r="588" spans="1:7">
      <c r="A588" s="1">
        <v>44805</v>
      </c>
      <c r="B588" s="1" t="str">
        <f t="shared" si="18"/>
        <v>After 5G</v>
      </c>
      <c r="C588">
        <v>110001</v>
      </c>
      <c r="D588" t="str">
        <f t="shared" si="19"/>
        <v>Delhi</v>
      </c>
      <c r="E588">
        <v>288.17</v>
      </c>
      <c r="F588" t="s">
        <v>87</v>
      </c>
      <c r="G588">
        <v>5.98</v>
      </c>
    </row>
    <row r="589" spans="1:7">
      <c r="A589" s="1">
        <v>44805</v>
      </c>
      <c r="B589" s="1" t="str">
        <f t="shared" si="18"/>
        <v>After 5G</v>
      </c>
      <c r="C589">
        <v>700001</v>
      </c>
      <c r="D589" t="str">
        <f t="shared" si="19"/>
        <v>Kolkata</v>
      </c>
      <c r="E589">
        <v>268.02</v>
      </c>
      <c r="F589" t="s">
        <v>87</v>
      </c>
      <c r="G589">
        <v>6.52</v>
      </c>
    </row>
    <row r="590" spans="1:7">
      <c r="A590" s="1">
        <v>44805</v>
      </c>
      <c r="B590" s="1" t="str">
        <f t="shared" si="18"/>
        <v>After 5G</v>
      </c>
      <c r="C590">
        <v>560001</v>
      </c>
      <c r="D590" t="str">
        <f t="shared" si="19"/>
        <v>Bangalore</v>
      </c>
      <c r="E590">
        <v>240.03</v>
      </c>
      <c r="F590" t="s">
        <v>87</v>
      </c>
      <c r="G590">
        <v>7.94</v>
      </c>
    </row>
    <row r="591" spans="1:7">
      <c r="A591" s="1">
        <v>44805</v>
      </c>
      <c r="B591" s="1" t="str">
        <f t="shared" si="18"/>
        <v>After 5G</v>
      </c>
      <c r="C591">
        <v>600001</v>
      </c>
      <c r="D591" t="str">
        <f t="shared" si="19"/>
        <v>Chennai</v>
      </c>
      <c r="E591">
        <v>198.83</v>
      </c>
      <c r="F591" t="s">
        <v>87</v>
      </c>
      <c r="G591">
        <v>7.81</v>
      </c>
    </row>
    <row r="592" spans="1:7">
      <c r="A592" s="1">
        <v>44805</v>
      </c>
      <c r="B592" s="1" t="str">
        <f t="shared" si="18"/>
        <v>After 5G</v>
      </c>
      <c r="C592">
        <v>500001</v>
      </c>
      <c r="D592" t="str">
        <f t="shared" si="19"/>
        <v>Hyderabad</v>
      </c>
      <c r="E592">
        <v>179.13</v>
      </c>
      <c r="F592" t="s">
        <v>87</v>
      </c>
      <c r="G592">
        <v>8.9600000000000009</v>
      </c>
    </row>
    <row r="593" spans="1:7">
      <c r="A593" s="1">
        <v>44805</v>
      </c>
      <c r="B593" s="1" t="str">
        <f t="shared" si="18"/>
        <v>After 5G</v>
      </c>
      <c r="C593">
        <v>411001</v>
      </c>
      <c r="D593" t="str">
        <f t="shared" si="19"/>
        <v>Pune</v>
      </c>
      <c r="E593">
        <v>172.86</v>
      </c>
      <c r="F593" t="s">
        <v>87</v>
      </c>
      <c r="G593">
        <v>6.67</v>
      </c>
    </row>
    <row r="594" spans="1:7">
      <c r="A594" s="1">
        <v>44805</v>
      </c>
      <c r="B594" s="1" t="str">
        <f t="shared" si="18"/>
        <v>After 5G</v>
      </c>
      <c r="C594">
        <v>380001</v>
      </c>
      <c r="D594" t="str">
        <f t="shared" si="19"/>
        <v>Ahmedabad</v>
      </c>
      <c r="E594">
        <v>131.21</v>
      </c>
      <c r="F594" t="s">
        <v>87</v>
      </c>
      <c r="G594">
        <v>6.77</v>
      </c>
    </row>
    <row r="595" spans="1:7">
      <c r="A595" s="1">
        <v>44805</v>
      </c>
      <c r="B595" s="1" t="str">
        <f t="shared" si="18"/>
        <v>After 5G</v>
      </c>
      <c r="C595">
        <v>302001</v>
      </c>
      <c r="D595" t="str">
        <f t="shared" si="19"/>
        <v>Jaipur</v>
      </c>
      <c r="E595">
        <v>97.4</v>
      </c>
      <c r="F595" t="s">
        <v>87</v>
      </c>
      <c r="G595">
        <v>7.19</v>
      </c>
    </row>
    <row r="596" spans="1:7">
      <c r="A596" s="1">
        <v>44805</v>
      </c>
      <c r="B596" s="1" t="str">
        <f t="shared" si="18"/>
        <v>After 5G</v>
      </c>
      <c r="C596">
        <v>226001</v>
      </c>
      <c r="D596" t="str">
        <f t="shared" si="19"/>
        <v>Lucknow</v>
      </c>
      <c r="E596">
        <v>83.74</v>
      </c>
      <c r="F596" t="s">
        <v>87</v>
      </c>
      <c r="G596">
        <v>6.44</v>
      </c>
    </row>
    <row r="597" spans="1:7">
      <c r="A597" s="1">
        <v>44805</v>
      </c>
      <c r="B597" s="1" t="str">
        <f t="shared" si="18"/>
        <v>After 5G</v>
      </c>
      <c r="C597">
        <v>800008</v>
      </c>
      <c r="D597" t="str">
        <f t="shared" si="19"/>
        <v>Patna</v>
      </c>
      <c r="E597">
        <v>68.739999999999995</v>
      </c>
      <c r="F597" t="s">
        <v>87</v>
      </c>
      <c r="G597">
        <v>5.87</v>
      </c>
    </row>
    <row r="598" spans="1:7">
      <c r="A598" s="1">
        <v>44805</v>
      </c>
      <c r="B598" s="1" t="str">
        <f t="shared" si="18"/>
        <v>After 5G</v>
      </c>
      <c r="C598">
        <v>641001</v>
      </c>
      <c r="D598" t="str">
        <f t="shared" si="19"/>
        <v>Coimbatore</v>
      </c>
      <c r="E598">
        <v>60.9</v>
      </c>
      <c r="F598" t="s">
        <v>87</v>
      </c>
      <c r="G598">
        <v>7.22</v>
      </c>
    </row>
    <row r="599" spans="1:7">
      <c r="A599" s="1">
        <v>44805</v>
      </c>
      <c r="B599" s="1" t="str">
        <f t="shared" si="18"/>
        <v>After 5G</v>
      </c>
      <c r="C599">
        <v>160017</v>
      </c>
      <c r="D599" t="str">
        <f t="shared" si="19"/>
        <v>Chandigarh</v>
      </c>
      <c r="E599">
        <v>44.33</v>
      </c>
      <c r="F599" t="s">
        <v>87</v>
      </c>
      <c r="G599">
        <v>7.35</v>
      </c>
    </row>
    <row r="600" spans="1:7">
      <c r="A600" s="1">
        <v>44805</v>
      </c>
      <c r="B600" s="1" t="str">
        <f t="shared" si="18"/>
        <v>After 5G</v>
      </c>
      <c r="C600">
        <v>122001</v>
      </c>
      <c r="D600" t="str">
        <f t="shared" si="19"/>
        <v>Gurgaon</v>
      </c>
      <c r="E600">
        <v>34.479999999999997</v>
      </c>
      <c r="F600" t="s">
        <v>87</v>
      </c>
      <c r="G600">
        <v>7.3</v>
      </c>
    </row>
    <row r="601" spans="1:7">
      <c r="A601" s="1">
        <v>44805</v>
      </c>
      <c r="B601" s="1" t="str">
        <f t="shared" si="18"/>
        <v>After 5G</v>
      </c>
      <c r="C601">
        <v>492001</v>
      </c>
      <c r="D601" t="str">
        <f t="shared" si="19"/>
        <v>Raipur</v>
      </c>
      <c r="E601">
        <v>21.5</v>
      </c>
      <c r="F601" t="s">
        <v>87</v>
      </c>
      <c r="G601">
        <v>7.83</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1201"/>
  <sheetViews>
    <sheetView workbookViewId="0">
      <selection activeCell="F1200" sqref="F1200"/>
    </sheetView>
  </sheetViews>
  <sheetFormatPr defaultRowHeight="15"/>
  <cols>
    <col min="1" max="1" width="9.85546875" bestFit="1" customWidth="1"/>
    <col min="2" max="2" width="9.85546875" customWidth="1"/>
    <col min="3" max="3" width="9.42578125" bestFit="1" customWidth="1"/>
    <col min="4" max="4" width="15.42578125" customWidth="1"/>
    <col min="5" max="5" width="5.7109375" bestFit="1" customWidth="1"/>
    <col min="6" max="6" width="20" bestFit="1" customWidth="1"/>
    <col min="8" max="8" width="14" customWidth="1"/>
  </cols>
  <sheetData>
    <row r="1" spans="1:14">
      <c r="A1" t="s">
        <v>0</v>
      </c>
      <c r="B1" t="s">
        <v>81</v>
      </c>
      <c r="C1" t="s">
        <v>43</v>
      </c>
      <c r="D1" t="s">
        <v>44</v>
      </c>
      <c r="E1" t="s">
        <v>88</v>
      </c>
      <c r="F1" t="s">
        <v>89</v>
      </c>
      <c r="H1" t="s">
        <v>0</v>
      </c>
      <c r="I1" t="s">
        <v>1</v>
      </c>
      <c r="J1" t="s">
        <v>2</v>
      </c>
      <c r="K1" t="s">
        <v>3</v>
      </c>
      <c r="M1" t="s">
        <v>43</v>
      </c>
      <c r="N1" t="s">
        <v>58</v>
      </c>
    </row>
    <row r="2" spans="1:14">
      <c r="A2" s="1">
        <v>44562</v>
      </c>
      <c r="B2" s="1" t="str">
        <f>VLOOKUP(A2,$H$2:$K$9,3,FALSE)</f>
        <v>Before 5G</v>
      </c>
      <c r="C2">
        <v>400001</v>
      </c>
      <c r="D2" t="str">
        <f>VLOOKUP(C2,$M$2:$N$16,2,FALSE)</f>
        <v>Mumbai</v>
      </c>
      <c r="E2" t="s">
        <v>16</v>
      </c>
      <c r="F2">
        <v>6.26</v>
      </c>
      <c r="H2" s="1">
        <v>44562</v>
      </c>
      <c r="I2" t="s">
        <v>4</v>
      </c>
      <c r="J2" t="s">
        <v>5</v>
      </c>
      <c r="K2">
        <v>1</v>
      </c>
      <c r="M2">
        <v>400001</v>
      </c>
      <c r="N2" t="s">
        <v>65</v>
      </c>
    </row>
    <row r="3" spans="1:14">
      <c r="A3" s="1">
        <v>44562</v>
      </c>
      <c r="B3" s="1" t="str">
        <f t="shared" ref="B3:B66" si="0">VLOOKUP(A3,$H$2:$K$9,3,FALSE)</f>
        <v>Before 5G</v>
      </c>
      <c r="C3">
        <v>110001</v>
      </c>
      <c r="D3" t="str">
        <f t="shared" ref="D3:D66" si="1">VLOOKUP(C3,$M$2:$N$16,2,FALSE)</f>
        <v>Delhi</v>
      </c>
      <c r="E3" t="s">
        <v>16</v>
      </c>
      <c r="F3">
        <v>4.58</v>
      </c>
      <c r="H3" s="1">
        <v>44593</v>
      </c>
      <c r="I3" t="s">
        <v>6</v>
      </c>
      <c r="J3" t="s">
        <v>5</v>
      </c>
      <c r="K3">
        <v>2</v>
      </c>
      <c r="M3">
        <v>110001</v>
      </c>
      <c r="N3" t="s">
        <v>67</v>
      </c>
    </row>
    <row r="4" spans="1:14">
      <c r="A4" s="1">
        <v>44562</v>
      </c>
      <c r="B4" s="1" t="str">
        <f t="shared" si="0"/>
        <v>Before 5G</v>
      </c>
      <c r="C4">
        <v>700001</v>
      </c>
      <c r="D4" t="str">
        <f t="shared" si="1"/>
        <v>Kolkata</v>
      </c>
      <c r="E4" t="s">
        <v>16</v>
      </c>
      <c r="F4">
        <v>4.29</v>
      </c>
      <c r="H4" s="1">
        <v>44621</v>
      </c>
      <c r="I4" t="s">
        <v>7</v>
      </c>
      <c r="J4" t="s">
        <v>5</v>
      </c>
      <c r="K4">
        <v>3</v>
      </c>
      <c r="M4">
        <v>700001</v>
      </c>
      <c r="N4" t="s">
        <v>68</v>
      </c>
    </row>
    <row r="5" spans="1:14">
      <c r="A5" s="1">
        <v>44562</v>
      </c>
      <c r="B5" s="1" t="str">
        <f t="shared" si="0"/>
        <v>Before 5G</v>
      </c>
      <c r="C5">
        <v>560001</v>
      </c>
      <c r="D5" t="str">
        <f t="shared" si="1"/>
        <v>Bangalore</v>
      </c>
      <c r="E5" t="s">
        <v>16</v>
      </c>
      <c r="F5">
        <v>4.26</v>
      </c>
      <c r="H5" s="1">
        <v>44652</v>
      </c>
      <c r="I5" t="s">
        <v>8</v>
      </c>
      <c r="J5" t="s">
        <v>5</v>
      </c>
      <c r="K5">
        <v>4</v>
      </c>
      <c r="M5">
        <v>560001</v>
      </c>
      <c r="N5" t="s">
        <v>69</v>
      </c>
    </row>
    <row r="6" spans="1:14">
      <c r="A6" s="1">
        <v>44562</v>
      </c>
      <c r="B6" s="1" t="str">
        <f t="shared" si="0"/>
        <v>Before 5G</v>
      </c>
      <c r="C6">
        <v>600001</v>
      </c>
      <c r="D6" t="str">
        <f t="shared" si="1"/>
        <v>Chennai</v>
      </c>
      <c r="E6" t="s">
        <v>16</v>
      </c>
      <c r="F6">
        <v>3.6</v>
      </c>
      <c r="H6" s="1">
        <v>44713</v>
      </c>
      <c r="I6" t="s">
        <v>9</v>
      </c>
      <c r="J6" t="s">
        <v>10</v>
      </c>
      <c r="K6">
        <v>1</v>
      </c>
      <c r="M6">
        <v>600001</v>
      </c>
      <c r="N6" t="s">
        <v>70</v>
      </c>
    </row>
    <row r="7" spans="1:14">
      <c r="A7" s="1">
        <v>44562</v>
      </c>
      <c r="B7" s="1" t="str">
        <f t="shared" si="0"/>
        <v>Before 5G</v>
      </c>
      <c r="C7">
        <v>500001</v>
      </c>
      <c r="D7" t="str">
        <f t="shared" si="1"/>
        <v>Hyderabad</v>
      </c>
      <c r="E7" t="s">
        <v>16</v>
      </c>
      <c r="F7">
        <v>3.26</v>
      </c>
      <c r="H7" s="1">
        <v>44743</v>
      </c>
      <c r="I7" t="s">
        <v>11</v>
      </c>
      <c r="J7" t="s">
        <v>10</v>
      </c>
      <c r="K7">
        <v>2</v>
      </c>
      <c r="M7">
        <v>500001</v>
      </c>
      <c r="N7" t="s">
        <v>71</v>
      </c>
    </row>
    <row r="8" spans="1:14">
      <c r="A8" s="1">
        <v>44562</v>
      </c>
      <c r="B8" s="1" t="str">
        <f t="shared" si="0"/>
        <v>Before 5G</v>
      </c>
      <c r="C8">
        <v>411001</v>
      </c>
      <c r="D8" t="str">
        <f t="shared" si="1"/>
        <v>Pune</v>
      </c>
      <c r="E8" t="s">
        <v>16</v>
      </c>
      <c r="F8">
        <v>2.27</v>
      </c>
      <c r="H8" s="1">
        <v>44774</v>
      </c>
      <c r="I8" t="s">
        <v>12</v>
      </c>
      <c r="J8" t="s">
        <v>10</v>
      </c>
      <c r="K8">
        <v>3</v>
      </c>
      <c r="M8">
        <v>411001</v>
      </c>
      <c r="N8" t="s">
        <v>72</v>
      </c>
    </row>
    <row r="9" spans="1:14">
      <c r="A9" s="1">
        <v>44562</v>
      </c>
      <c r="B9" s="1" t="str">
        <f t="shared" si="0"/>
        <v>Before 5G</v>
      </c>
      <c r="C9">
        <v>380001</v>
      </c>
      <c r="D9" t="str">
        <f t="shared" si="1"/>
        <v>Ahmedabad</v>
      </c>
      <c r="E9" t="s">
        <v>16</v>
      </c>
      <c r="F9">
        <v>2.68</v>
      </c>
      <c r="H9" s="1">
        <v>44805</v>
      </c>
      <c r="I9" t="s">
        <v>13</v>
      </c>
      <c r="J9" t="s">
        <v>10</v>
      </c>
      <c r="K9">
        <v>4</v>
      </c>
      <c r="M9">
        <v>380001</v>
      </c>
      <c r="N9" t="s">
        <v>73</v>
      </c>
    </row>
    <row r="10" spans="1:14">
      <c r="A10" s="1">
        <v>44562</v>
      </c>
      <c r="B10" s="1" t="str">
        <f t="shared" si="0"/>
        <v>Before 5G</v>
      </c>
      <c r="C10">
        <v>302001</v>
      </c>
      <c r="D10" t="str">
        <f t="shared" si="1"/>
        <v>Jaipur</v>
      </c>
      <c r="E10" t="s">
        <v>16</v>
      </c>
      <c r="F10">
        <v>2.46</v>
      </c>
      <c r="M10">
        <v>302001</v>
      </c>
      <c r="N10" t="s">
        <v>74</v>
      </c>
    </row>
    <row r="11" spans="1:14">
      <c r="A11" s="1">
        <v>44562</v>
      </c>
      <c r="B11" s="1" t="str">
        <f t="shared" si="0"/>
        <v>Before 5G</v>
      </c>
      <c r="C11">
        <v>226001</v>
      </c>
      <c r="D11" t="str">
        <f t="shared" si="1"/>
        <v>Lucknow</v>
      </c>
      <c r="E11" t="s">
        <v>16</v>
      </c>
      <c r="F11">
        <v>1.64</v>
      </c>
      <c r="M11">
        <v>226001</v>
      </c>
      <c r="N11" t="s">
        <v>75</v>
      </c>
    </row>
    <row r="12" spans="1:14">
      <c r="A12" s="1">
        <v>44562</v>
      </c>
      <c r="B12" s="1" t="str">
        <f t="shared" si="0"/>
        <v>Before 5G</v>
      </c>
      <c r="C12">
        <v>800008</v>
      </c>
      <c r="D12" t="str">
        <f t="shared" si="1"/>
        <v>Patna</v>
      </c>
      <c r="E12" t="s">
        <v>16</v>
      </c>
      <c r="F12">
        <v>1.8</v>
      </c>
      <c r="M12">
        <v>800008</v>
      </c>
      <c r="N12" t="s">
        <v>76</v>
      </c>
    </row>
    <row r="13" spans="1:14">
      <c r="A13" s="1">
        <v>44562</v>
      </c>
      <c r="B13" s="1" t="str">
        <f t="shared" si="0"/>
        <v>Before 5G</v>
      </c>
      <c r="C13">
        <v>641001</v>
      </c>
      <c r="D13" t="str">
        <f t="shared" si="1"/>
        <v>Coimbatore</v>
      </c>
      <c r="E13" t="s">
        <v>16</v>
      </c>
      <c r="F13">
        <v>0.81</v>
      </c>
      <c r="M13">
        <v>641001</v>
      </c>
      <c r="N13" t="s">
        <v>77</v>
      </c>
    </row>
    <row r="14" spans="1:14">
      <c r="A14" s="1">
        <v>44562</v>
      </c>
      <c r="B14" s="1" t="str">
        <f t="shared" si="0"/>
        <v>Before 5G</v>
      </c>
      <c r="C14">
        <v>160017</v>
      </c>
      <c r="D14" t="str">
        <f t="shared" si="1"/>
        <v>Chandigarh</v>
      </c>
      <c r="E14" t="s">
        <v>16</v>
      </c>
      <c r="F14">
        <v>0.73</v>
      </c>
      <c r="M14">
        <v>160017</v>
      </c>
      <c r="N14" t="s">
        <v>78</v>
      </c>
    </row>
    <row r="15" spans="1:14">
      <c r="A15" s="1">
        <v>44562</v>
      </c>
      <c r="B15" s="1" t="str">
        <f t="shared" si="0"/>
        <v>Before 5G</v>
      </c>
      <c r="C15">
        <v>122001</v>
      </c>
      <c r="D15" t="str">
        <f t="shared" si="1"/>
        <v>Gurgaon</v>
      </c>
      <c r="E15" t="s">
        <v>16</v>
      </c>
      <c r="F15">
        <v>0.48</v>
      </c>
      <c r="M15">
        <v>122001</v>
      </c>
      <c r="N15" t="s">
        <v>79</v>
      </c>
    </row>
    <row r="16" spans="1:14">
      <c r="A16" s="1">
        <v>44562</v>
      </c>
      <c r="B16" s="1" t="str">
        <f t="shared" si="0"/>
        <v>Before 5G</v>
      </c>
      <c r="C16">
        <v>492001</v>
      </c>
      <c r="D16" t="str">
        <f t="shared" si="1"/>
        <v>Raipur</v>
      </c>
      <c r="E16" t="s">
        <v>16</v>
      </c>
      <c r="F16">
        <v>0.49</v>
      </c>
      <c r="M16">
        <v>492001</v>
      </c>
      <c r="N16" t="s">
        <v>80</v>
      </c>
    </row>
    <row r="17" spans="1:6">
      <c r="A17" s="1">
        <v>44593</v>
      </c>
      <c r="B17" s="1" t="str">
        <f t="shared" si="0"/>
        <v>Before 5G</v>
      </c>
      <c r="C17">
        <v>400001</v>
      </c>
      <c r="D17" t="str">
        <f t="shared" si="1"/>
        <v>Mumbai</v>
      </c>
      <c r="E17" t="s">
        <v>16</v>
      </c>
      <c r="F17">
        <v>7.86</v>
      </c>
    </row>
    <row r="18" spans="1:6">
      <c r="A18" s="1">
        <v>44593</v>
      </c>
      <c r="B18" s="1" t="str">
        <f t="shared" si="0"/>
        <v>Before 5G</v>
      </c>
      <c r="C18">
        <v>110001</v>
      </c>
      <c r="D18" t="str">
        <f t="shared" si="1"/>
        <v>Delhi</v>
      </c>
      <c r="E18" t="s">
        <v>16</v>
      </c>
      <c r="F18">
        <v>5.43</v>
      </c>
    </row>
    <row r="19" spans="1:6">
      <c r="A19" s="1">
        <v>44593</v>
      </c>
      <c r="B19" s="1" t="str">
        <f t="shared" si="0"/>
        <v>Before 5G</v>
      </c>
      <c r="C19">
        <v>700001</v>
      </c>
      <c r="D19" t="str">
        <f t="shared" si="1"/>
        <v>Kolkata</v>
      </c>
      <c r="E19" t="s">
        <v>16</v>
      </c>
      <c r="F19">
        <v>5.36</v>
      </c>
    </row>
    <row r="20" spans="1:6">
      <c r="A20" s="1">
        <v>44593</v>
      </c>
      <c r="B20" s="1" t="str">
        <f t="shared" si="0"/>
        <v>Before 5G</v>
      </c>
      <c r="C20">
        <v>560001</v>
      </c>
      <c r="D20" t="str">
        <f t="shared" si="1"/>
        <v>Bangalore</v>
      </c>
      <c r="E20" t="s">
        <v>16</v>
      </c>
      <c r="F20">
        <v>5.47</v>
      </c>
    </row>
    <row r="21" spans="1:6">
      <c r="A21" s="1">
        <v>44593</v>
      </c>
      <c r="B21" s="1" t="str">
        <f t="shared" si="0"/>
        <v>Before 5G</v>
      </c>
      <c r="C21">
        <v>600001</v>
      </c>
      <c r="D21" t="str">
        <f t="shared" si="1"/>
        <v>Chennai</v>
      </c>
      <c r="E21" t="s">
        <v>16</v>
      </c>
      <c r="F21">
        <v>7.02</v>
      </c>
    </row>
    <row r="22" spans="1:6">
      <c r="A22" s="1">
        <v>44593</v>
      </c>
      <c r="B22" s="1" t="str">
        <f t="shared" si="0"/>
        <v>Before 5G</v>
      </c>
      <c r="C22">
        <v>500001</v>
      </c>
      <c r="D22" t="str">
        <f t="shared" si="1"/>
        <v>Hyderabad</v>
      </c>
      <c r="E22" t="s">
        <v>16</v>
      </c>
      <c r="F22">
        <v>4.16</v>
      </c>
    </row>
    <row r="23" spans="1:6">
      <c r="A23" s="1">
        <v>44593</v>
      </c>
      <c r="B23" s="1" t="str">
        <f t="shared" si="0"/>
        <v>Before 5G</v>
      </c>
      <c r="C23">
        <v>411001</v>
      </c>
      <c r="D23" t="str">
        <f t="shared" si="1"/>
        <v>Pune</v>
      </c>
      <c r="E23" t="s">
        <v>16</v>
      </c>
      <c r="F23">
        <v>3.44</v>
      </c>
    </row>
    <row r="24" spans="1:6">
      <c r="A24" s="1">
        <v>44593</v>
      </c>
      <c r="B24" s="1" t="str">
        <f t="shared" si="0"/>
        <v>Before 5G</v>
      </c>
      <c r="C24">
        <v>380001</v>
      </c>
      <c r="D24" t="str">
        <f t="shared" si="1"/>
        <v>Ahmedabad</v>
      </c>
      <c r="E24" t="s">
        <v>16</v>
      </c>
      <c r="F24">
        <v>2.2200000000000002</v>
      </c>
    </row>
    <row r="25" spans="1:6">
      <c r="A25" s="1">
        <v>44593</v>
      </c>
      <c r="B25" s="1" t="str">
        <f t="shared" si="0"/>
        <v>Before 5G</v>
      </c>
      <c r="C25">
        <v>302001</v>
      </c>
      <c r="D25" t="str">
        <f t="shared" si="1"/>
        <v>Jaipur</v>
      </c>
      <c r="E25" t="s">
        <v>16</v>
      </c>
      <c r="F25">
        <v>1.51</v>
      </c>
    </row>
    <row r="26" spans="1:6">
      <c r="A26" s="1">
        <v>44593</v>
      </c>
      <c r="B26" s="1" t="str">
        <f t="shared" si="0"/>
        <v>Before 5G</v>
      </c>
      <c r="C26">
        <v>226001</v>
      </c>
      <c r="D26" t="str">
        <f t="shared" si="1"/>
        <v>Lucknow</v>
      </c>
      <c r="E26" t="s">
        <v>16</v>
      </c>
      <c r="F26">
        <v>3.17</v>
      </c>
    </row>
    <row r="27" spans="1:6">
      <c r="A27" s="1">
        <v>44593</v>
      </c>
      <c r="B27" s="1" t="str">
        <f t="shared" si="0"/>
        <v>Before 5G</v>
      </c>
      <c r="C27">
        <v>800008</v>
      </c>
      <c r="D27" t="str">
        <f t="shared" si="1"/>
        <v>Patna</v>
      </c>
      <c r="E27" t="s">
        <v>16</v>
      </c>
      <c r="F27">
        <v>1.4</v>
      </c>
    </row>
    <row r="28" spans="1:6">
      <c r="A28" s="1">
        <v>44593</v>
      </c>
      <c r="B28" s="1" t="str">
        <f t="shared" si="0"/>
        <v>Before 5G</v>
      </c>
      <c r="C28">
        <v>641001</v>
      </c>
      <c r="D28" t="str">
        <f t="shared" si="1"/>
        <v>Coimbatore</v>
      </c>
      <c r="E28" t="s">
        <v>16</v>
      </c>
      <c r="F28">
        <v>1.33</v>
      </c>
    </row>
    <row r="29" spans="1:6">
      <c r="A29" s="1">
        <v>44593</v>
      </c>
      <c r="B29" s="1" t="str">
        <f t="shared" si="0"/>
        <v>Before 5G</v>
      </c>
      <c r="C29">
        <v>160017</v>
      </c>
      <c r="D29" t="str">
        <f t="shared" si="1"/>
        <v>Chandigarh</v>
      </c>
      <c r="E29" t="s">
        <v>16</v>
      </c>
      <c r="F29">
        <v>0.54</v>
      </c>
    </row>
    <row r="30" spans="1:6">
      <c r="A30" s="1">
        <v>44593</v>
      </c>
      <c r="B30" s="1" t="str">
        <f t="shared" si="0"/>
        <v>Before 5G</v>
      </c>
      <c r="C30">
        <v>122001</v>
      </c>
      <c r="D30" t="str">
        <f t="shared" si="1"/>
        <v>Gurgaon</v>
      </c>
      <c r="E30" t="s">
        <v>16</v>
      </c>
      <c r="F30">
        <v>0.9</v>
      </c>
    </row>
    <row r="31" spans="1:6">
      <c r="A31" s="1">
        <v>44593</v>
      </c>
      <c r="B31" s="1" t="str">
        <f t="shared" si="0"/>
        <v>Before 5G</v>
      </c>
      <c r="C31">
        <v>492001</v>
      </c>
      <c r="D31" t="str">
        <f t="shared" si="1"/>
        <v>Raipur</v>
      </c>
      <c r="E31" t="s">
        <v>16</v>
      </c>
      <c r="F31">
        <v>0.47</v>
      </c>
    </row>
    <row r="32" spans="1:6">
      <c r="A32" s="1">
        <v>44621</v>
      </c>
      <c r="B32" s="1" t="str">
        <f t="shared" si="0"/>
        <v>Before 5G</v>
      </c>
      <c r="C32">
        <v>400001</v>
      </c>
      <c r="D32" t="str">
        <f t="shared" si="1"/>
        <v>Mumbai</v>
      </c>
      <c r="E32" t="s">
        <v>16</v>
      </c>
      <c r="F32">
        <v>5.66</v>
      </c>
    </row>
    <row r="33" spans="1:6">
      <c r="A33" s="1">
        <v>44621</v>
      </c>
      <c r="B33" s="1" t="str">
        <f t="shared" si="0"/>
        <v>Before 5G</v>
      </c>
      <c r="C33">
        <v>110001</v>
      </c>
      <c r="D33" t="str">
        <f t="shared" si="1"/>
        <v>Delhi</v>
      </c>
      <c r="E33" t="s">
        <v>16</v>
      </c>
      <c r="F33">
        <v>5.84</v>
      </c>
    </row>
    <row r="34" spans="1:6">
      <c r="A34" s="1">
        <v>44621</v>
      </c>
      <c r="B34" s="1" t="str">
        <f t="shared" si="0"/>
        <v>Before 5G</v>
      </c>
      <c r="C34">
        <v>700001</v>
      </c>
      <c r="D34" t="str">
        <f t="shared" si="1"/>
        <v>Kolkata</v>
      </c>
      <c r="E34" t="s">
        <v>16</v>
      </c>
      <c r="F34">
        <v>7.54</v>
      </c>
    </row>
    <row r="35" spans="1:6">
      <c r="A35" s="1">
        <v>44621</v>
      </c>
      <c r="B35" s="1" t="str">
        <f t="shared" si="0"/>
        <v>Before 5G</v>
      </c>
      <c r="C35">
        <v>560001</v>
      </c>
      <c r="D35" t="str">
        <f t="shared" si="1"/>
        <v>Bangalore</v>
      </c>
      <c r="E35" t="s">
        <v>16</v>
      </c>
      <c r="F35">
        <v>4.97</v>
      </c>
    </row>
    <row r="36" spans="1:6">
      <c r="A36" s="1">
        <v>44621</v>
      </c>
      <c r="B36" s="1" t="str">
        <f t="shared" si="0"/>
        <v>Before 5G</v>
      </c>
      <c r="C36">
        <v>600001</v>
      </c>
      <c r="D36" t="str">
        <f t="shared" si="1"/>
        <v>Chennai</v>
      </c>
      <c r="E36" t="s">
        <v>16</v>
      </c>
      <c r="F36">
        <v>3.33</v>
      </c>
    </row>
    <row r="37" spans="1:6">
      <c r="A37" s="1">
        <v>44621</v>
      </c>
      <c r="B37" s="1" t="str">
        <f t="shared" si="0"/>
        <v>Before 5G</v>
      </c>
      <c r="C37">
        <v>500001</v>
      </c>
      <c r="D37" t="str">
        <f t="shared" si="1"/>
        <v>Hyderabad</v>
      </c>
      <c r="E37" t="s">
        <v>16</v>
      </c>
      <c r="F37">
        <v>3.37</v>
      </c>
    </row>
    <row r="38" spans="1:6">
      <c r="A38" s="1">
        <v>44621</v>
      </c>
      <c r="B38" s="1" t="str">
        <f t="shared" si="0"/>
        <v>Before 5G</v>
      </c>
      <c r="C38">
        <v>411001</v>
      </c>
      <c r="D38" t="str">
        <f t="shared" si="1"/>
        <v>Pune</v>
      </c>
      <c r="E38" t="s">
        <v>16</v>
      </c>
      <c r="F38">
        <v>4.18</v>
      </c>
    </row>
    <row r="39" spans="1:6">
      <c r="A39" s="1">
        <v>44621</v>
      </c>
      <c r="B39" s="1" t="str">
        <f t="shared" si="0"/>
        <v>Before 5G</v>
      </c>
      <c r="C39">
        <v>380001</v>
      </c>
      <c r="D39" t="str">
        <f t="shared" si="1"/>
        <v>Ahmedabad</v>
      </c>
      <c r="E39" t="s">
        <v>16</v>
      </c>
      <c r="F39">
        <v>2.99</v>
      </c>
    </row>
    <row r="40" spans="1:6">
      <c r="A40" s="1">
        <v>44621</v>
      </c>
      <c r="B40" s="1" t="str">
        <f t="shared" si="0"/>
        <v>Before 5G</v>
      </c>
      <c r="C40">
        <v>302001</v>
      </c>
      <c r="D40" t="str">
        <f t="shared" si="1"/>
        <v>Jaipur</v>
      </c>
      <c r="E40" t="s">
        <v>16</v>
      </c>
      <c r="F40">
        <v>1.88</v>
      </c>
    </row>
    <row r="41" spans="1:6">
      <c r="A41" s="1">
        <v>44621</v>
      </c>
      <c r="B41" s="1" t="str">
        <f t="shared" si="0"/>
        <v>Before 5G</v>
      </c>
      <c r="C41">
        <v>226001</v>
      </c>
      <c r="D41" t="str">
        <f t="shared" si="1"/>
        <v>Lucknow</v>
      </c>
      <c r="E41" t="s">
        <v>16</v>
      </c>
      <c r="F41">
        <v>1.8</v>
      </c>
    </row>
    <row r="42" spans="1:6">
      <c r="A42" s="1">
        <v>44621</v>
      </c>
      <c r="B42" s="1" t="str">
        <f t="shared" si="0"/>
        <v>Before 5G</v>
      </c>
      <c r="C42">
        <v>800008</v>
      </c>
      <c r="D42" t="str">
        <f t="shared" si="1"/>
        <v>Patna</v>
      </c>
      <c r="E42" t="s">
        <v>16</v>
      </c>
      <c r="F42">
        <v>1.06</v>
      </c>
    </row>
    <row r="43" spans="1:6">
      <c r="A43" s="1">
        <v>44621</v>
      </c>
      <c r="B43" s="1" t="str">
        <f t="shared" si="0"/>
        <v>Before 5G</v>
      </c>
      <c r="C43">
        <v>641001</v>
      </c>
      <c r="D43" t="str">
        <f t="shared" si="1"/>
        <v>Coimbatore</v>
      </c>
      <c r="E43" t="s">
        <v>16</v>
      </c>
      <c r="F43">
        <v>1.96</v>
      </c>
    </row>
    <row r="44" spans="1:6">
      <c r="A44" s="1">
        <v>44621</v>
      </c>
      <c r="B44" s="1" t="str">
        <f t="shared" si="0"/>
        <v>Before 5G</v>
      </c>
      <c r="C44">
        <v>160017</v>
      </c>
      <c r="D44" t="str">
        <f t="shared" si="1"/>
        <v>Chandigarh</v>
      </c>
      <c r="E44" t="s">
        <v>16</v>
      </c>
      <c r="F44">
        <v>0.94</v>
      </c>
    </row>
    <row r="45" spans="1:6">
      <c r="A45" s="1">
        <v>44621</v>
      </c>
      <c r="B45" s="1" t="str">
        <f t="shared" si="0"/>
        <v>Before 5G</v>
      </c>
      <c r="C45">
        <v>122001</v>
      </c>
      <c r="D45" t="str">
        <f t="shared" si="1"/>
        <v>Gurgaon</v>
      </c>
      <c r="E45" t="s">
        <v>16</v>
      </c>
      <c r="F45">
        <v>0.66</v>
      </c>
    </row>
    <row r="46" spans="1:6">
      <c r="A46" s="1">
        <v>44621</v>
      </c>
      <c r="B46" s="1" t="str">
        <f t="shared" si="0"/>
        <v>Before 5G</v>
      </c>
      <c r="C46">
        <v>492001</v>
      </c>
      <c r="D46" t="str">
        <f t="shared" si="1"/>
        <v>Raipur</v>
      </c>
      <c r="E46" t="s">
        <v>16</v>
      </c>
      <c r="F46">
        <v>0.38</v>
      </c>
    </row>
    <row r="47" spans="1:6">
      <c r="A47" s="1">
        <v>44652</v>
      </c>
      <c r="B47" s="1" t="str">
        <f t="shared" si="0"/>
        <v>Before 5G</v>
      </c>
      <c r="C47">
        <v>400001</v>
      </c>
      <c r="D47" t="str">
        <f t="shared" si="1"/>
        <v>Mumbai</v>
      </c>
      <c r="E47" t="s">
        <v>16</v>
      </c>
      <c r="F47">
        <v>5.6</v>
      </c>
    </row>
    <row r="48" spans="1:6">
      <c r="A48" s="1">
        <v>44652</v>
      </c>
      <c r="B48" s="1" t="str">
        <f t="shared" si="0"/>
        <v>Before 5G</v>
      </c>
      <c r="C48">
        <v>110001</v>
      </c>
      <c r="D48" t="str">
        <f t="shared" si="1"/>
        <v>Delhi</v>
      </c>
      <c r="E48" t="s">
        <v>16</v>
      </c>
      <c r="F48">
        <v>4.66</v>
      </c>
    </row>
    <row r="49" spans="1:6">
      <c r="A49" s="1">
        <v>44652</v>
      </c>
      <c r="B49" s="1" t="str">
        <f t="shared" si="0"/>
        <v>Before 5G</v>
      </c>
      <c r="C49">
        <v>700001</v>
      </c>
      <c r="D49" t="str">
        <f t="shared" si="1"/>
        <v>Kolkata</v>
      </c>
      <c r="E49" t="s">
        <v>16</v>
      </c>
      <c r="F49">
        <v>4.51</v>
      </c>
    </row>
    <row r="50" spans="1:6">
      <c r="A50" s="1">
        <v>44652</v>
      </c>
      <c r="B50" s="1" t="str">
        <f t="shared" si="0"/>
        <v>Before 5G</v>
      </c>
      <c r="C50">
        <v>560001</v>
      </c>
      <c r="D50" t="str">
        <f t="shared" si="1"/>
        <v>Bangalore</v>
      </c>
      <c r="E50" t="s">
        <v>16</v>
      </c>
      <c r="F50">
        <v>5.13</v>
      </c>
    </row>
    <row r="51" spans="1:6">
      <c r="A51" s="1">
        <v>44652</v>
      </c>
      <c r="B51" s="1" t="str">
        <f t="shared" si="0"/>
        <v>Before 5G</v>
      </c>
      <c r="C51">
        <v>600001</v>
      </c>
      <c r="D51" t="str">
        <f t="shared" si="1"/>
        <v>Chennai</v>
      </c>
      <c r="E51" t="s">
        <v>16</v>
      </c>
      <c r="F51">
        <v>4.53</v>
      </c>
    </row>
    <row r="52" spans="1:6">
      <c r="A52" s="1">
        <v>44652</v>
      </c>
      <c r="B52" s="1" t="str">
        <f t="shared" si="0"/>
        <v>Before 5G</v>
      </c>
      <c r="C52">
        <v>500001</v>
      </c>
      <c r="D52" t="str">
        <f t="shared" si="1"/>
        <v>Hyderabad</v>
      </c>
      <c r="E52" t="s">
        <v>16</v>
      </c>
      <c r="F52">
        <v>3.01</v>
      </c>
    </row>
    <row r="53" spans="1:6">
      <c r="A53" s="1">
        <v>44652</v>
      </c>
      <c r="B53" s="1" t="str">
        <f t="shared" si="0"/>
        <v>Before 5G</v>
      </c>
      <c r="C53">
        <v>411001</v>
      </c>
      <c r="D53" t="str">
        <f t="shared" si="1"/>
        <v>Pune</v>
      </c>
      <c r="E53" t="s">
        <v>16</v>
      </c>
      <c r="F53">
        <v>5.52</v>
      </c>
    </row>
    <row r="54" spans="1:6">
      <c r="A54" s="1">
        <v>44652</v>
      </c>
      <c r="B54" s="1" t="str">
        <f t="shared" si="0"/>
        <v>Before 5G</v>
      </c>
      <c r="C54">
        <v>380001</v>
      </c>
      <c r="D54" t="str">
        <f t="shared" si="1"/>
        <v>Ahmedabad</v>
      </c>
      <c r="E54" t="s">
        <v>16</v>
      </c>
      <c r="F54">
        <v>3.45</v>
      </c>
    </row>
    <row r="55" spans="1:6">
      <c r="A55" s="1">
        <v>44652</v>
      </c>
      <c r="B55" s="1" t="str">
        <f t="shared" si="0"/>
        <v>Before 5G</v>
      </c>
      <c r="C55">
        <v>302001</v>
      </c>
      <c r="D55" t="str">
        <f t="shared" si="1"/>
        <v>Jaipur</v>
      </c>
      <c r="E55" t="s">
        <v>16</v>
      </c>
      <c r="F55">
        <v>1.83</v>
      </c>
    </row>
    <row r="56" spans="1:6">
      <c r="A56" s="1">
        <v>44652</v>
      </c>
      <c r="B56" s="1" t="str">
        <f t="shared" si="0"/>
        <v>Before 5G</v>
      </c>
      <c r="C56">
        <v>226001</v>
      </c>
      <c r="D56" t="str">
        <f t="shared" si="1"/>
        <v>Lucknow</v>
      </c>
      <c r="E56" t="s">
        <v>16</v>
      </c>
      <c r="F56">
        <v>1.7</v>
      </c>
    </row>
    <row r="57" spans="1:6">
      <c r="A57" s="1">
        <v>44652</v>
      </c>
      <c r="B57" s="1" t="str">
        <f t="shared" si="0"/>
        <v>Before 5G</v>
      </c>
      <c r="C57">
        <v>800008</v>
      </c>
      <c r="D57" t="str">
        <f t="shared" si="1"/>
        <v>Patna</v>
      </c>
      <c r="E57" t="s">
        <v>16</v>
      </c>
      <c r="F57">
        <v>1.48</v>
      </c>
    </row>
    <row r="58" spans="1:6">
      <c r="A58" s="1">
        <v>44652</v>
      </c>
      <c r="B58" s="1" t="str">
        <f t="shared" si="0"/>
        <v>Before 5G</v>
      </c>
      <c r="C58">
        <v>641001</v>
      </c>
      <c r="D58" t="str">
        <f t="shared" si="1"/>
        <v>Coimbatore</v>
      </c>
      <c r="E58" t="s">
        <v>16</v>
      </c>
      <c r="F58">
        <v>1.08</v>
      </c>
    </row>
    <row r="59" spans="1:6">
      <c r="A59" s="1">
        <v>44652</v>
      </c>
      <c r="B59" s="1" t="str">
        <f t="shared" si="0"/>
        <v>Before 5G</v>
      </c>
      <c r="C59">
        <v>160017</v>
      </c>
      <c r="D59" t="str">
        <f t="shared" si="1"/>
        <v>Chandigarh</v>
      </c>
      <c r="E59" t="s">
        <v>16</v>
      </c>
      <c r="F59">
        <v>1.22</v>
      </c>
    </row>
    <row r="60" spans="1:6">
      <c r="A60" s="1">
        <v>44652</v>
      </c>
      <c r="B60" s="1" t="str">
        <f t="shared" si="0"/>
        <v>Before 5G</v>
      </c>
      <c r="C60">
        <v>122001</v>
      </c>
      <c r="D60" t="str">
        <f t="shared" si="1"/>
        <v>Gurgaon</v>
      </c>
      <c r="E60" t="s">
        <v>16</v>
      </c>
      <c r="F60">
        <v>0.64</v>
      </c>
    </row>
    <row r="61" spans="1:6">
      <c r="A61" s="1">
        <v>44652</v>
      </c>
      <c r="B61" s="1" t="str">
        <f t="shared" si="0"/>
        <v>Before 5G</v>
      </c>
      <c r="C61">
        <v>492001</v>
      </c>
      <c r="D61" t="str">
        <f t="shared" si="1"/>
        <v>Raipur</v>
      </c>
      <c r="E61" t="s">
        <v>16</v>
      </c>
      <c r="F61">
        <v>0.46</v>
      </c>
    </row>
    <row r="62" spans="1:6">
      <c r="A62" s="1">
        <v>44713</v>
      </c>
      <c r="B62" s="1" t="str">
        <f t="shared" si="0"/>
        <v>After 5G</v>
      </c>
      <c r="C62">
        <v>400001</v>
      </c>
      <c r="D62" t="str">
        <f t="shared" si="1"/>
        <v>Mumbai</v>
      </c>
      <c r="E62" t="s">
        <v>16</v>
      </c>
      <c r="F62">
        <v>9.83</v>
      </c>
    </row>
    <row r="63" spans="1:6">
      <c r="A63" s="1">
        <v>44713</v>
      </c>
      <c r="B63" s="1" t="str">
        <f t="shared" si="0"/>
        <v>After 5G</v>
      </c>
      <c r="C63">
        <v>110001</v>
      </c>
      <c r="D63" t="str">
        <f t="shared" si="1"/>
        <v>Delhi</v>
      </c>
      <c r="E63" t="s">
        <v>16</v>
      </c>
      <c r="F63">
        <v>6.18</v>
      </c>
    </row>
    <row r="64" spans="1:6">
      <c r="A64" s="1">
        <v>44713</v>
      </c>
      <c r="B64" s="1" t="str">
        <f t="shared" si="0"/>
        <v>After 5G</v>
      </c>
      <c r="C64">
        <v>700001</v>
      </c>
      <c r="D64" t="str">
        <f t="shared" si="1"/>
        <v>Kolkata</v>
      </c>
      <c r="E64" t="s">
        <v>16</v>
      </c>
      <c r="F64">
        <v>5.64</v>
      </c>
    </row>
    <row r="65" spans="1:6">
      <c r="A65" s="1">
        <v>44713</v>
      </c>
      <c r="B65" s="1" t="str">
        <f t="shared" si="0"/>
        <v>After 5G</v>
      </c>
      <c r="C65">
        <v>560001</v>
      </c>
      <c r="D65" t="str">
        <f t="shared" si="1"/>
        <v>Bangalore</v>
      </c>
      <c r="E65" t="s">
        <v>16</v>
      </c>
      <c r="F65">
        <v>5.94</v>
      </c>
    </row>
    <row r="66" spans="1:6">
      <c r="A66" s="1">
        <v>44713</v>
      </c>
      <c r="B66" s="1" t="str">
        <f t="shared" si="0"/>
        <v>After 5G</v>
      </c>
      <c r="C66">
        <v>600001</v>
      </c>
      <c r="D66" t="str">
        <f t="shared" si="1"/>
        <v>Chennai</v>
      </c>
      <c r="E66" t="s">
        <v>16</v>
      </c>
      <c r="F66">
        <v>4.63</v>
      </c>
    </row>
    <row r="67" spans="1:6">
      <c r="A67" s="1">
        <v>44713</v>
      </c>
      <c r="B67" s="1" t="str">
        <f t="shared" ref="B67:B130" si="2">VLOOKUP(A67,$H$2:$K$9,3,FALSE)</f>
        <v>After 5G</v>
      </c>
      <c r="C67">
        <v>500001</v>
      </c>
      <c r="D67" t="str">
        <f t="shared" ref="D67:D130" si="3">VLOOKUP(C67,$M$2:$N$16,2,FALSE)</f>
        <v>Hyderabad</v>
      </c>
      <c r="E67" t="s">
        <v>16</v>
      </c>
      <c r="F67">
        <v>4.07</v>
      </c>
    </row>
    <row r="68" spans="1:6">
      <c r="A68" s="1">
        <v>44713</v>
      </c>
      <c r="B68" s="1" t="str">
        <f t="shared" si="2"/>
        <v>After 5G</v>
      </c>
      <c r="C68">
        <v>411001</v>
      </c>
      <c r="D68" t="str">
        <f t="shared" si="3"/>
        <v>Pune</v>
      </c>
      <c r="E68" t="s">
        <v>16</v>
      </c>
      <c r="F68">
        <v>3.51</v>
      </c>
    </row>
    <row r="69" spans="1:6">
      <c r="A69" s="1">
        <v>44713</v>
      </c>
      <c r="B69" s="1" t="str">
        <f t="shared" si="2"/>
        <v>After 5G</v>
      </c>
      <c r="C69">
        <v>380001</v>
      </c>
      <c r="D69" t="str">
        <f t="shared" si="3"/>
        <v>Ahmedabad</v>
      </c>
      <c r="E69" t="s">
        <v>16</v>
      </c>
      <c r="F69">
        <v>3.07</v>
      </c>
    </row>
    <row r="70" spans="1:6">
      <c r="A70" s="1">
        <v>44713</v>
      </c>
      <c r="B70" s="1" t="str">
        <f t="shared" si="2"/>
        <v>After 5G</v>
      </c>
      <c r="C70">
        <v>302001</v>
      </c>
      <c r="D70" t="str">
        <f t="shared" si="3"/>
        <v>Jaipur</v>
      </c>
      <c r="E70" t="s">
        <v>16</v>
      </c>
      <c r="F70">
        <v>2.93</v>
      </c>
    </row>
    <row r="71" spans="1:6">
      <c r="A71" s="1">
        <v>44713</v>
      </c>
      <c r="B71" s="1" t="str">
        <f t="shared" si="2"/>
        <v>After 5G</v>
      </c>
      <c r="C71">
        <v>226001</v>
      </c>
      <c r="D71" t="str">
        <f t="shared" si="3"/>
        <v>Lucknow</v>
      </c>
      <c r="E71" t="s">
        <v>16</v>
      </c>
      <c r="F71">
        <v>1.78</v>
      </c>
    </row>
    <row r="72" spans="1:6">
      <c r="A72" s="1">
        <v>44713</v>
      </c>
      <c r="B72" s="1" t="str">
        <f t="shared" si="2"/>
        <v>After 5G</v>
      </c>
      <c r="C72">
        <v>800008</v>
      </c>
      <c r="D72" t="str">
        <f t="shared" si="3"/>
        <v>Patna</v>
      </c>
      <c r="E72" t="s">
        <v>16</v>
      </c>
      <c r="F72">
        <v>2.61</v>
      </c>
    </row>
    <row r="73" spans="1:6">
      <c r="A73" s="1">
        <v>44713</v>
      </c>
      <c r="B73" s="1" t="str">
        <f t="shared" si="2"/>
        <v>After 5G</v>
      </c>
      <c r="C73">
        <v>641001</v>
      </c>
      <c r="D73" t="str">
        <f t="shared" si="3"/>
        <v>Coimbatore</v>
      </c>
      <c r="E73" t="s">
        <v>16</v>
      </c>
      <c r="F73">
        <v>1.05</v>
      </c>
    </row>
    <row r="74" spans="1:6">
      <c r="A74" s="1">
        <v>44713</v>
      </c>
      <c r="B74" s="1" t="str">
        <f t="shared" si="2"/>
        <v>After 5G</v>
      </c>
      <c r="C74">
        <v>160017</v>
      </c>
      <c r="D74" t="str">
        <f t="shared" si="3"/>
        <v>Chandigarh</v>
      </c>
      <c r="E74" t="s">
        <v>16</v>
      </c>
      <c r="F74">
        <v>0.94</v>
      </c>
    </row>
    <row r="75" spans="1:6">
      <c r="A75" s="1">
        <v>44713</v>
      </c>
      <c r="B75" s="1" t="str">
        <f t="shared" si="2"/>
        <v>After 5G</v>
      </c>
      <c r="C75">
        <v>122001</v>
      </c>
      <c r="D75" t="str">
        <f t="shared" si="3"/>
        <v>Gurgaon</v>
      </c>
      <c r="E75" t="s">
        <v>16</v>
      </c>
      <c r="F75">
        <v>0.73</v>
      </c>
    </row>
    <row r="76" spans="1:6">
      <c r="A76" s="1">
        <v>44713</v>
      </c>
      <c r="B76" s="1" t="str">
        <f t="shared" si="2"/>
        <v>After 5G</v>
      </c>
      <c r="C76">
        <v>492001</v>
      </c>
      <c r="D76" t="str">
        <f t="shared" si="3"/>
        <v>Raipur</v>
      </c>
      <c r="E76" t="s">
        <v>16</v>
      </c>
      <c r="F76">
        <v>0.67</v>
      </c>
    </row>
    <row r="77" spans="1:6">
      <c r="A77" s="1">
        <v>44743</v>
      </c>
      <c r="B77" s="1" t="str">
        <f t="shared" si="2"/>
        <v>After 5G</v>
      </c>
      <c r="C77">
        <v>400001</v>
      </c>
      <c r="D77" t="str">
        <f t="shared" si="3"/>
        <v>Mumbai</v>
      </c>
      <c r="E77" t="s">
        <v>16</v>
      </c>
      <c r="F77">
        <v>8.7100000000000009</v>
      </c>
    </row>
    <row r="78" spans="1:6">
      <c r="A78" s="1">
        <v>44743</v>
      </c>
      <c r="B78" s="1" t="str">
        <f t="shared" si="2"/>
        <v>After 5G</v>
      </c>
      <c r="C78">
        <v>110001</v>
      </c>
      <c r="D78" t="str">
        <f t="shared" si="3"/>
        <v>Delhi</v>
      </c>
      <c r="E78" t="s">
        <v>16</v>
      </c>
      <c r="F78">
        <v>8.32</v>
      </c>
    </row>
    <row r="79" spans="1:6">
      <c r="A79" s="1">
        <v>44743</v>
      </c>
      <c r="B79" s="1" t="str">
        <f t="shared" si="2"/>
        <v>After 5G</v>
      </c>
      <c r="C79">
        <v>700001</v>
      </c>
      <c r="D79" t="str">
        <f t="shared" si="3"/>
        <v>Kolkata</v>
      </c>
      <c r="E79" t="s">
        <v>16</v>
      </c>
      <c r="F79">
        <v>5.59</v>
      </c>
    </row>
    <row r="80" spans="1:6">
      <c r="A80" s="1">
        <v>44743</v>
      </c>
      <c r="B80" s="1" t="str">
        <f t="shared" si="2"/>
        <v>After 5G</v>
      </c>
      <c r="C80">
        <v>560001</v>
      </c>
      <c r="D80" t="str">
        <f t="shared" si="3"/>
        <v>Bangalore</v>
      </c>
      <c r="E80" t="s">
        <v>16</v>
      </c>
      <c r="F80">
        <v>6.83</v>
      </c>
    </row>
    <row r="81" spans="1:6">
      <c r="A81" s="1">
        <v>44743</v>
      </c>
      <c r="B81" s="1" t="str">
        <f t="shared" si="2"/>
        <v>After 5G</v>
      </c>
      <c r="C81">
        <v>600001</v>
      </c>
      <c r="D81" t="str">
        <f t="shared" si="3"/>
        <v>Chennai</v>
      </c>
      <c r="E81" t="s">
        <v>16</v>
      </c>
      <c r="F81">
        <v>9.07</v>
      </c>
    </row>
    <row r="82" spans="1:6">
      <c r="A82" s="1">
        <v>44743</v>
      </c>
      <c r="B82" s="1" t="str">
        <f t="shared" si="2"/>
        <v>After 5G</v>
      </c>
      <c r="C82">
        <v>500001</v>
      </c>
      <c r="D82" t="str">
        <f t="shared" si="3"/>
        <v>Hyderabad</v>
      </c>
      <c r="E82" t="s">
        <v>16</v>
      </c>
      <c r="F82">
        <v>5.83</v>
      </c>
    </row>
    <row r="83" spans="1:6">
      <c r="A83" s="1">
        <v>44743</v>
      </c>
      <c r="B83" s="1" t="str">
        <f t="shared" si="2"/>
        <v>After 5G</v>
      </c>
      <c r="C83">
        <v>411001</v>
      </c>
      <c r="D83" t="str">
        <f t="shared" si="3"/>
        <v>Pune</v>
      </c>
      <c r="E83" t="s">
        <v>16</v>
      </c>
      <c r="F83">
        <v>3.66</v>
      </c>
    </row>
    <row r="84" spans="1:6">
      <c r="A84" s="1">
        <v>44743</v>
      </c>
      <c r="B84" s="1" t="str">
        <f t="shared" si="2"/>
        <v>After 5G</v>
      </c>
      <c r="C84">
        <v>380001</v>
      </c>
      <c r="D84" t="str">
        <f t="shared" si="3"/>
        <v>Ahmedabad</v>
      </c>
      <c r="E84" t="s">
        <v>16</v>
      </c>
      <c r="F84">
        <v>2.86</v>
      </c>
    </row>
    <row r="85" spans="1:6">
      <c r="A85" s="1">
        <v>44743</v>
      </c>
      <c r="B85" s="1" t="str">
        <f t="shared" si="2"/>
        <v>After 5G</v>
      </c>
      <c r="C85">
        <v>302001</v>
      </c>
      <c r="D85" t="str">
        <f t="shared" si="3"/>
        <v>Jaipur</v>
      </c>
      <c r="E85" t="s">
        <v>16</v>
      </c>
      <c r="F85">
        <v>2.2599999999999998</v>
      </c>
    </row>
    <row r="86" spans="1:6">
      <c r="A86" s="1">
        <v>44743</v>
      </c>
      <c r="B86" s="1" t="str">
        <f t="shared" si="2"/>
        <v>After 5G</v>
      </c>
      <c r="C86">
        <v>226001</v>
      </c>
      <c r="D86" t="str">
        <f t="shared" si="3"/>
        <v>Lucknow</v>
      </c>
      <c r="E86" t="s">
        <v>16</v>
      </c>
      <c r="F86">
        <v>3.37</v>
      </c>
    </row>
    <row r="87" spans="1:6">
      <c r="A87" s="1">
        <v>44743</v>
      </c>
      <c r="B87" s="1" t="str">
        <f t="shared" si="2"/>
        <v>After 5G</v>
      </c>
      <c r="C87">
        <v>800008</v>
      </c>
      <c r="D87" t="str">
        <f t="shared" si="3"/>
        <v>Patna</v>
      </c>
      <c r="E87" t="s">
        <v>16</v>
      </c>
      <c r="F87">
        <v>1.52</v>
      </c>
    </row>
    <row r="88" spans="1:6">
      <c r="A88" s="1">
        <v>44743</v>
      </c>
      <c r="B88" s="1" t="str">
        <f t="shared" si="2"/>
        <v>After 5G</v>
      </c>
      <c r="C88">
        <v>641001</v>
      </c>
      <c r="D88" t="str">
        <f t="shared" si="3"/>
        <v>Coimbatore</v>
      </c>
      <c r="E88" t="s">
        <v>16</v>
      </c>
      <c r="F88">
        <v>1.68</v>
      </c>
    </row>
    <row r="89" spans="1:6">
      <c r="A89" s="1">
        <v>44743</v>
      </c>
      <c r="B89" s="1" t="str">
        <f t="shared" si="2"/>
        <v>After 5G</v>
      </c>
      <c r="C89">
        <v>160017</v>
      </c>
      <c r="D89" t="str">
        <f t="shared" si="3"/>
        <v>Chandigarh</v>
      </c>
      <c r="E89" t="s">
        <v>16</v>
      </c>
      <c r="F89">
        <v>0.92</v>
      </c>
    </row>
    <row r="90" spans="1:6">
      <c r="A90" s="1">
        <v>44743</v>
      </c>
      <c r="B90" s="1" t="str">
        <f t="shared" si="2"/>
        <v>After 5G</v>
      </c>
      <c r="C90">
        <v>122001</v>
      </c>
      <c r="D90" t="str">
        <f t="shared" si="3"/>
        <v>Gurgaon</v>
      </c>
      <c r="E90" t="s">
        <v>16</v>
      </c>
      <c r="F90">
        <v>1.47</v>
      </c>
    </row>
    <row r="91" spans="1:6">
      <c r="A91" s="1">
        <v>44743</v>
      </c>
      <c r="B91" s="1" t="str">
        <f t="shared" si="2"/>
        <v>After 5G</v>
      </c>
      <c r="C91">
        <v>492001</v>
      </c>
      <c r="D91" t="str">
        <f t="shared" si="3"/>
        <v>Raipur</v>
      </c>
      <c r="E91" t="s">
        <v>16</v>
      </c>
      <c r="F91">
        <v>0.7</v>
      </c>
    </row>
    <row r="92" spans="1:6">
      <c r="A92" s="1">
        <v>44774</v>
      </c>
      <c r="B92" s="1" t="str">
        <f t="shared" si="2"/>
        <v>After 5G</v>
      </c>
      <c r="C92">
        <v>400001</v>
      </c>
      <c r="D92" t="str">
        <f t="shared" si="3"/>
        <v>Mumbai</v>
      </c>
      <c r="E92" t="s">
        <v>16</v>
      </c>
      <c r="F92">
        <v>7.68</v>
      </c>
    </row>
    <row r="93" spans="1:6">
      <c r="A93" s="1">
        <v>44774</v>
      </c>
      <c r="B93" s="1" t="str">
        <f t="shared" si="2"/>
        <v>After 5G</v>
      </c>
      <c r="C93">
        <v>110001</v>
      </c>
      <c r="D93" t="str">
        <f t="shared" si="3"/>
        <v>Delhi</v>
      </c>
      <c r="E93" t="s">
        <v>16</v>
      </c>
      <c r="F93">
        <v>7.48</v>
      </c>
    </row>
    <row r="94" spans="1:6">
      <c r="A94" s="1">
        <v>44774</v>
      </c>
      <c r="B94" s="1" t="str">
        <f t="shared" si="2"/>
        <v>After 5G</v>
      </c>
      <c r="C94">
        <v>700001</v>
      </c>
      <c r="D94" t="str">
        <f t="shared" si="3"/>
        <v>Kolkata</v>
      </c>
      <c r="E94" t="s">
        <v>16</v>
      </c>
      <c r="F94">
        <v>11.46</v>
      </c>
    </row>
    <row r="95" spans="1:6">
      <c r="A95" s="1">
        <v>44774</v>
      </c>
      <c r="B95" s="1" t="str">
        <f t="shared" si="2"/>
        <v>After 5G</v>
      </c>
      <c r="C95">
        <v>560001</v>
      </c>
      <c r="D95" t="str">
        <f t="shared" si="3"/>
        <v>Bangalore</v>
      </c>
      <c r="E95" t="s">
        <v>16</v>
      </c>
      <c r="F95">
        <v>5.99</v>
      </c>
    </row>
    <row r="96" spans="1:6">
      <c r="A96" s="1">
        <v>44774</v>
      </c>
      <c r="B96" s="1" t="str">
        <f t="shared" si="2"/>
        <v>After 5G</v>
      </c>
      <c r="C96">
        <v>600001</v>
      </c>
      <c r="D96" t="str">
        <f t="shared" si="3"/>
        <v>Chennai</v>
      </c>
      <c r="E96" t="s">
        <v>16</v>
      </c>
      <c r="F96">
        <v>4.3499999999999996</v>
      </c>
    </row>
    <row r="97" spans="1:6">
      <c r="A97" s="1">
        <v>44774</v>
      </c>
      <c r="B97" s="1" t="str">
        <f t="shared" si="2"/>
        <v>After 5G</v>
      </c>
      <c r="C97">
        <v>500001</v>
      </c>
      <c r="D97" t="str">
        <f t="shared" si="3"/>
        <v>Hyderabad</v>
      </c>
      <c r="E97" t="s">
        <v>16</v>
      </c>
      <c r="F97">
        <v>4.09</v>
      </c>
    </row>
    <row r="98" spans="1:6">
      <c r="A98" s="1">
        <v>44774</v>
      </c>
      <c r="B98" s="1" t="str">
        <f t="shared" si="2"/>
        <v>After 5G</v>
      </c>
      <c r="C98">
        <v>411001</v>
      </c>
      <c r="D98" t="str">
        <f t="shared" si="3"/>
        <v>Pune</v>
      </c>
      <c r="E98" t="s">
        <v>16</v>
      </c>
      <c r="F98">
        <v>4.74</v>
      </c>
    </row>
    <row r="99" spans="1:6">
      <c r="A99" s="1">
        <v>44774</v>
      </c>
      <c r="B99" s="1" t="str">
        <f t="shared" si="2"/>
        <v>After 5G</v>
      </c>
      <c r="C99">
        <v>380001</v>
      </c>
      <c r="D99" t="str">
        <f t="shared" si="3"/>
        <v>Ahmedabad</v>
      </c>
      <c r="E99" t="s">
        <v>16</v>
      </c>
      <c r="F99">
        <v>4.54</v>
      </c>
    </row>
    <row r="100" spans="1:6">
      <c r="A100" s="1">
        <v>44774</v>
      </c>
      <c r="B100" s="1" t="str">
        <f t="shared" si="2"/>
        <v>After 5G</v>
      </c>
      <c r="C100">
        <v>302001</v>
      </c>
      <c r="D100" t="str">
        <f t="shared" si="3"/>
        <v>Jaipur</v>
      </c>
      <c r="E100" t="s">
        <v>16</v>
      </c>
      <c r="F100">
        <v>2.65</v>
      </c>
    </row>
    <row r="101" spans="1:6">
      <c r="A101" s="1">
        <v>44774</v>
      </c>
      <c r="B101" s="1" t="str">
        <f t="shared" si="2"/>
        <v>After 5G</v>
      </c>
      <c r="C101">
        <v>226001</v>
      </c>
      <c r="D101" t="str">
        <f t="shared" si="3"/>
        <v>Lucknow</v>
      </c>
      <c r="E101" t="s">
        <v>16</v>
      </c>
      <c r="F101">
        <v>2.2999999999999998</v>
      </c>
    </row>
    <row r="102" spans="1:6">
      <c r="A102" s="1">
        <v>44774</v>
      </c>
      <c r="B102" s="1" t="str">
        <f t="shared" si="2"/>
        <v>After 5G</v>
      </c>
      <c r="C102">
        <v>800008</v>
      </c>
      <c r="D102" t="str">
        <f t="shared" si="3"/>
        <v>Patna</v>
      </c>
      <c r="E102" t="s">
        <v>16</v>
      </c>
      <c r="F102">
        <v>1.71</v>
      </c>
    </row>
    <row r="103" spans="1:6">
      <c r="A103" s="1">
        <v>44774</v>
      </c>
      <c r="B103" s="1" t="str">
        <f t="shared" si="2"/>
        <v>After 5G</v>
      </c>
      <c r="C103">
        <v>641001</v>
      </c>
      <c r="D103" t="str">
        <f t="shared" si="3"/>
        <v>Coimbatore</v>
      </c>
      <c r="E103" t="s">
        <v>16</v>
      </c>
      <c r="F103">
        <v>2.44</v>
      </c>
    </row>
    <row r="104" spans="1:6">
      <c r="A104" s="1">
        <v>44774</v>
      </c>
      <c r="B104" s="1" t="str">
        <f t="shared" si="2"/>
        <v>After 5G</v>
      </c>
      <c r="C104">
        <v>160017</v>
      </c>
      <c r="D104" t="str">
        <f t="shared" si="3"/>
        <v>Chandigarh</v>
      </c>
      <c r="E104" t="s">
        <v>16</v>
      </c>
      <c r="F104">
        <v>1.18</v>
      </c>
    </row>
    <row r="105" spans="1:6">
      <c r="A105" s="1">
        <v>44774</v>
      </c>
      <c r="B105" s="1" t="str">
        <f t="shared" si="2"/>
        <v>After 5G</v>
      </c>
      <c r="C105">
        <v>122001</v>
      </c>
      <c r="D105" t="str">
        <f t="shared" si="3"/>
        <v>Gurgaon</v>
      </c>
      <c r="E105" t="s">
        <v>16</v>
      </c>
      <c r="F105">
        <v>0.87</v>
      </c>
    </row>
    <row r="106" spans="1:6">
      <c r="A106" s="1">
        <v>44774</v>
      </c>
      <c r="B106" s="1" t="str">
        <f t="shared" si="2"/>
        <v>After 5G</v>
      </c>
      <c r="C106">
        <v>492001</v>
      </c>
      <c r="D106" t="str">
        <f t="shared" si="3"/>
        <v>Raipur</v>
      </c>
      <c r="E106" t="s">
        <v>16</v>
      </c>
      <c r="F106">
        <v>0.54</v>
      </c>
    </row>
    <row r="107" spans="1:6">
      <c r="A107" s="1">
        <v>44805</v>
      </c>
      <c r="B107" s="1" t="str">
        <f t="shared" si="2"/>
        <v>After 5G</v>
      </c>
      <c r="C107">
        <v>400001</v>
      </c>
      <c r="D107" t="str">
        <f t="shared" si="3"/>
        <v>Mumbai</v>
      </c>
      <c r="E107" t="s">
        <v>16</v>
      </c>
      <c r="F107">
        <v>9.5</v>
      </c>
    </row>
    <row r="108" spans="1:6">
      <c r="A108" s="1">
        <v>44805</v>
      </c>
      <c r="B108" s="1" t="str">
        <f t="shared" si="2"/>
        <v>After 5G</v>
      </c>
      <c r="C108">
        <v>110001</v>
      </c>
      <c r="D108" t="str">
        <f t="shared" si="3"/>
        <v>Delhi</v>
      </c>
      <c r="E108" t="s">
        <v>16</v>
      </c>
      <c r="F108">
        <v>7.5</v>
      </c>
    </row>
    <row r="109" spans="1:6">
      <c r="A109" s="1">
        <v>44805</v>
      </c>
      <c r="B109" s="1" t="str">
        <f t="shared" si="2"/>
        <v>After 5G</v>
      </c>
      <c r="C109">
        <v>700001</v>
      </c>
      <c r="D109" t="str">
        <f t="shared" si="3"/>
        <v>Kolkata</v>
      </c>
      <c r="E109" t="s">
        <v>16</v>
      </c>
      <c r="F109">
        <v>6.92</v>
      </c>
    </row>
    <row r="110" spans="1:6">
      <c r="A110" s="1">
        <v>44805</v>
      </c>
      <c r="B110" s="1" t="str">
        <f t="shared" si="2"/>
        <v>After 5G</v>
      </c>
      <c r="C110">
        <v>560001</v>
      </c>
      <c r="D110" t="str">
        <f t="shared" si="3"/>
        <v>Bangalore</v>
      </c>
      <c r="E110" t="s">
        <v>16</v>
      </c>
      <c r="F110">
        <v>5.62</v>
      </c>
    </row>
    <row r="111" spans="1:6">
      <c r="A111" s="1">
        <v>44805</v>
      </c>
      <c r="B111" s="1" t="str">
        <f t="shared" si="2"/>
        <v>After 5G</v>
      </c>
      <c r="C111">
        <v>600001</v>
      </c>
      <c r="D111" t="str">
        <f t="shared" si="3"/>
        <v>Chennai</v>
      </c>
      <c r="E111" t="s">
        <v>16</v>
      </c>
      <c r="F111">
        <v>4.6399999999999997</v>
      </c>
    </row>
    <row r="112" spans="1:6">
      <c r="A112" s="1">
        <v>44805</v>
      </c>
      <c r="B112" s="1" t="str">
        <f t="shared" si="2"/>
        <v>After 5G</v>
      </c>
      <c r="C112">
        <v>500001</v>
      </c>
      <c r="D112" t="str">
        <f t="shared" si="3"/>
        <v>Hyderabad</v>
      </c>
      <c r="E112" t="s">
        <v>16</v>
      </c>
      <c r="F112">
        <v>4.0199999999999996</v>
      </c>
    </row>
    <row r="113" spans="1:6">
      <c r="A113" s="1">
        <v>44805</v>
      </c>
      <c r="B113" s="1" t="str">
        <f t="shared" si="2"/>
        <v>After 5G</v>
      </c>
      <c r="C113">
        <v>411001</v>
      </c>
      <c r="D113" t="str">
        <f t="shared" si="3"/>
        <v>Pune</v>
      </c>
      <c r="E113" t="s">
        <v>16</v>
      </c>
      <c r="F113">
        <v>7.42</v>
      </c>
    </row>
    <row r="114" spans="1:6">
      <c r="A114" s="1">
        <v>44805</v>
      </c>
      <c r="B114" s="1" t="str">
        <f t="shared" si="2"/>
        <v>After 5G</v>
      </c>
      <c r="C114">
        <v>380001</v>
      </c>
      <c r="D114" t="str">
        <f t="shared" si="3"/>
        <v>Ahmedabad</v>
      </c>
      <c r="E114" t="s">
        <v>16</v>
      </c>
      <c r="F114">
        <v>3.73</v>
      </c>
    </row>
    <row r="115" spans="1:6">
      <c r="A115" s="1">
        <v>44805</v>
      </c>
      <c r="B115" s="1" t="str">
        <f t="shared" si="2"/>
        <v>After 5G</v>
      </c>
      <c r="C115">
        <v>302001</v>
      </c>
      <c r="D115" t="str">
        <f t="shared" si="3"/>
        <v>Jaipur</v>
      </c>
      <c r="E115" t="s">
        <v>16</v>
      </c>
      <c r="F115">
        <v>2.31</v>
      </c>
    </row>
    <row r="116" spans="1:6">
      <c r="A116" s="1">
        <v>44805</v>
      </c>
      <c r="B116" s="1" t="str">
        <f t="shared" si="2"/>
        <v>After 5G</v>
      </c>
      <c r="C116">
        <v>226001</v>
      </c>
      <c r="D116" t="str">
        <f t="shared" si="3"/>
        <v>Lucknow</v>
      </c>
      <c r="E116" t="s">
        <v>16</v>
      </c>
      <c r="F116">
        <v>2.23</v>
      </c>
    </row>
    <row r="117" spans="1:6">
      <c r="A117" s="1">
        <v>44805</v>
      </c>
      <c r="B117" s="1" t="str">
        <f t="shared" si="2"/>
        <v>After 5G</v>
      </c>
      <c r="C117">
        <v>800008</v>
      </c>
      <c r="D117" t="str">
        <f t="shared" si="3"/>
        <v>Patna</v>
      </c>
      <c r="E117" t="s">
        <v>16</v>
      </c>
      <c r="F117">
        <v>2.04</v>
      </c>
    </row>
    <row r="118" spans="1:6">
      <c r="A118" s="1">
        <v>44805</v>
      </c>
      <c r="B118" s="1" t="str">
        <f t="shared" si="2"/>
        <v>After 5G</v>
      </c>
      <c r="C118">
        <v>641001</v>
      </c>
      <c r="D118" t="str">
        <f t="shared" si="3"/>
        <v>Coimbatore</v>
      </c>
      <c r="E118" t="s">
        <v>16</v>
      </c>
      <c r="F118">
        <v>1.35</v>
      </c>
    </row>
    <row r="119" spans="1:6">
      <c r="A119" s="1">
        <v>44805</v>
      </c>
      <c r="B119" s="1" t="str">
        <f t="shared" si="2"/>
        <v>After 5G</v>
      </c>
      <c r="C119">
        <v>160017</v>
      </c>
      <c r="D119" t="str">
        <f t="shared" si="3"/>
        <v>Chandigarh</v>
      </c>
      <c r="E119" t="s">
        <v>16</v>
      </c>
      <c r="F119">
        <v>1.43</v>
      </c>
    </row>
    <row r="120" spans="1:6">
      <c r="A120" s="1">
        <v>44805</v>
      </c>
      <c r="B120" s="1" t="str">
        <f t="shared" si="2"/>
        <v>After 5G</v>
      </c>
      <c r="C120">
        <v>122001</v>
      </c>
      <c r="D120" t="str">
        <f t="shared" si="3"/>
        <v>Gurgaon</v>
      </c>
      <c r="E120" t="s">
        <v>16</v>
      </c>
      <c r="F120">
        <v>1.02</v>
      </c>
    </row>
    <row r="121" spans="1:6">
      <c r="A121" s="1">
        <v>44805</v>
      </c>
      <c r="B121" s="1" t="str">
        <f t="shared" si="2"/>
        <v>After 5G</v>
      </c>
      <c r="C121">
        <v>492001</v>
      </c>
      <c r="D121" t="str">
        <f t="shared" si="3"/>
        <v>Raipur</v>
      </c>
      <c r="E121" t="s">
        <v>16</v>
      </c>
      <c r="F121">
        <v>0.54</v>
      </c>
    </row>
    <row r="122" spans="1:6">
      <c r="A122" s="1">
        <v>44562</v>
      </c>
      <c r="B122" s="1" t="str">
        <f t="shared" si="2"/>
        <v>Before 5G</v>
      </c>
      <c r="C122">
        <v>400001</v>
      </c>
      <c r="D122" t="str">
        <f t="shared" si="3"/>
        <v>Mumbai</v>
      </c>
      <c r="E122" t="s">
        <v>18</v>
      </c>
      <c r="F122">
        <v>4.87</v>
      </c>
    </row>
    <row r="123" spans="1:6">
      <c r="A123" s="1">
        <v>44562</v>
      </c>
      <c r="B123" s="1" t="str">
        <f t="shared" si="2"/>
        <v>Before 5G</v>
      </c>
      <c r="C123">
        <v>110001</v>
      </c>
      <c r="D123" t="str">
        <f t="shared" si="3"/>
        <v>Delhi</v>
      </c>
      <c r="E123" t="s">
        <v>18</v>
      </c>
      <c r="F123">
        <v>4.01</v>
      </c>
    </row>
    <row r="124" spans="1:6">
      <c r="A124" s="1">
        <v>44562</v>
      </c>
      <c r="B124" s="1" t="str">
        <f t="shared" si="2"/>
        <v>Before 5G</v>
      </c>
      <c r="C124">
        <v>700001</v>
      </c>
      <c r="D124" t="str">
        <f t="shared" si="3"/>
        <v>Kolkata</v>
      </c>
      <c r="E124" t="s">
        <v>18</v>
      </c>
      <c r="F124">
        <v>4.01</v>
      </c>
    </row>
    <row r="125" spans="1:6">
      <c r="A125" s="1">
        <v>44562</v>
      </c>
      <c r="B125" s="1" t="str">
        <f t="shared" si="2"/>
        <v>Before 5G</v>
      </c>
      <c r="C125">
        <v>560001</v>
      </c>
      <c r="D125" t="str">
        <f t="shared" si="3"/>
        <v>Bangalore</v>
      </c>
      <c r="E125" t="s">
        <v>18</v>
      </c>
      <c r="F125">
        <v>3.76</v>
      </c>
    </row>
    <row r="126" spans="1:6">
      <c r="A126" s="1">
        <v>44562</v>
      </c>
      <c r="B126" s="1" t="str">
        <f t="shared" si="2"/>
        <v>Before 5G</v>
      </c>
      <c r="C126">
        <v>600001</v>
      </c>
      <c r="D126" t="str">
        <f t="shared" si="3"/>
        <v>Chennai</v>
      </c>
      <c r="E126" t="s">
        <v>18</v>
      </c>
      <c r="F126">
        <v>2.82</v>
      </c>
    </row>
    <row r="127" spans="1:6">
      <c r="A127" s="1">
        <v>44562</v>
      </c>
      <c r="B127" s="1" t="str">
        <f t="shared" si="2"/>
        <v>Before 5G</v>
      </c>
      <c r="C127">
        <v>500001</v>
      </c>
      <c r="D127" t="str">
        <f t="shared" si="3"/>
        <v>Hyderabad</v>
      </c>
      <c r="E127" t="s">
        <v>18</v>
      </c>
      <c r="F127">
        <v>2.42</v>
      </c>
    </row>
    <row r="128" spans="1:6">
      <c r="A128" s="1">
        <v>44562</v>
      </c>
      <c r="B128" s="1" t="str">
        <f t="shared" si="2"/>
        <v>Before 5G</v>
      </c>
      <c r="C128">
        <v>411001</v>
      </c>
      <c r="D128" t="str">
        <f t="shared" si="3"/>
        <v>Pune</v>
      </c>
      <c r="E128" t="s">
        <v>18</v>
      </c>
      <c r="F128">
        <v>2.0499999999999998</v>
      </c>
    </row>
    <row r="129" spans="1:6">
      <c r="A129" s="1">
        <v>44562</v>
      </c>
      <c r="B129" s="1" t="str">
        <f t="shared" si="2"/>
        <v>Before 5G</v>
      </c>
      <c r="C129">
        <v>380001</v>
      </c>
      <c r="D129" t="str">
        <f t="shared" si="3"/>
        <v>Ahmedabad</v>
      </c>
      <c r="E129" t="s">
        <v>18</v>
      </c>
      <c r="F129">
        <v>1.92</v>
      </c>
    </row>
    <row r="130" spans="1:6">
      <c r="A130" s="1">
        <v>44562</v>
      </c>
      <c r="B130" s="1" t="str">
        <f t="shared" si="2"/>
        <v>Before 5G</v>
      </c>
      <c r="C130">
        <v>302001</v>
      </c>
      <c r="D130" t="str">
        <f t="shared" si="3"/>
        <v>Jaipur</v>
      </c>
      <c r="E130" t="s">
        <v>18</v>
      </c>
      <c r="F130">
        <v>1.98</v>
      </c>
    </row>
    <row r="131" spans="1:6">
      <c r="A131" s="1">
        <v>44562</v>
      </c>
      <c r="B131" s="1" t="str">
        <f t="shared" ref="B131:B194" si="4">VLOOKUP(A131,$H$2:$K$9,3,FALSE)</f>
        <v>Before 5G</v>
      </c>
      <c r="C131">
        <v>226001</v>
      </c>
      <c r="D131" t="str">
        <f t="shared" ref="D131:D194" si="5">VLOOKUP(C131,$M$2:$N$16,2,FALSE)</f>
        <v>Lucknow</v>
      </c>
      <c r="E131" t="s">
        <v>18</v>
      </c>
      <c r="F131">
        <v>1.22</v>
      </c>
    </row>
    <row r="132" spans="1:6">
      <c r="A132" s="1">
        <v>44562</v>
      </c>
      <c r="B132" s="1" t="str">
        <f t="shared" si="4"/>
        <v>Before 5G</v>
      </c>
      <c r="C132">
        <v>800008</v>
      </c>
      <c r="D132" t="str">
        <f t="shared" si="5"/>
        <v>Patna</v>
      </c>
      <c r="E132" t="s">
        <v>18</v>
      </c>
      <c r="F132">
        <v>1.53</v>
      </c>
    </row>
    <row r="133" spans="1:6">
      <c r="A133" s="1">
        <v>44562</v>
      </c>
      <c r="B133" s="1" t="str">
        <f t="shared" si="4"/>
        <v>Before 5G</v>
      </c>
      <c r="C133">
        <v>641001</v>
      </c>
      <c r="D133" t="str">
        <f t="shared" si="5"/>
        <v>Coimbatore</v>
      </c>
      <c r="E133" t="s">
        <v>18</v>
      </c>
      <c r="F133">
        <v>0.57999999999999996</v>
      </c>
    </row>
    <row r="134" spans="1:6">
      <c r="A134" s="1">
        <v>44562</v>
      </c>
      <c r="B134" s="1" t="str">
        <f t="shared" si="4"/>
        <v>Before 5G</v>
      </c>
      <c r="C134">
        <v>160017</v>
      </c>
      <c r="D134" t="str">
        <f t="shared" si="5"/>
        <v>Chandigarh</v>
      </c>
      <c r="E134" t="s">
        <v>18</v>
      </c>
      <c r="F134">
        <v>0.61</v>
      </c>
    </row>
    <row r="135" spans="1:6">
      <c r="A135" s="1">
        <v>44562</v>
      </c>
      <c r="B135" s="1" t="str">
        <f t="shared" si="4"/>
        <v>Before 5G</v>
      </c>
      <c r="C135">
        <v>122001</v>
      </c>
      <c r="D135" t="str">
        <f t="shared" si="5"/>
        <v>Gurgaon</v>
      </c>
      <c r="E135" t="s">
        <v>18</v>
      </c>
      <c r="F135">
        <v>0.42</v>
      </c>
    </row>
    <row r="136" spans="1:6">
      <c r="A136" s="1">
        <v>44562</v>
      </c>
      <c r="B136" s="1" t="str">
        <f t="shared" si="4"/>
        <v>Before 5G</v>
      </c>
      <c r="C136">
        <v>492001</v>
      </c>
      <c r="D136" t="str">
        <f t="shared" si="5"/>
        <v>Raipur</v>
      </c>
      <c r="E136" t="s">
        <v>18</v>
      </c>
      <c r="F136">
        <v>0.35</v>
      </c>
    </row>
    <row r="137" spans="1:6">
      <c r="A137" s="1">
        <v>44593</v>
      </c>
      <c r="B137" s="1" t="str">
        <f t="shared" si="4"/>
        <v>Before 5G</v>
      </c>
      <c r="C137">
        <v>400001</v>
      </c>
      <c r="D137" t="str">
        <f t="shared" si="5"/>
        <v>Mumbai</v>
      </c>
      <c r="E137" t="s">
        <v>18</v>
      </c>
      <c r="F137">
        <v>5.64</v>
      </c>
    </row>
    <row r="138" spans="1:6">
      <c r="A138" s="1">
        <v>44593</v>
      </c>
      <c r="B138" s="1" t="str">
        <f t="shared" si="4"/>
        <v>Before 5G</v>
      </c>
      <c r="C138">
        <v>110001</v>
      </c>
      <c r="D138" t="str">
        <f t="shared" si="5"/>
        <v>Delhi</v>
      </c>
      <c r="E138" t="s">
        <v>18</v>
      </c>
      <c r="F138">
        <v>4.7699999999999996</v>
      </c>
    </row>
    <row r="139" spans="1:6">
      <c r="A139" s="1">
        <v>44593</v>
      </c>
      <c r="B139" s="1" t="str">
        <f t="shared" si="4"/>
        <v>Before 5G</v>
      </c>
      <c r="C139">
        <v>700001</v>
      </c>
      <c r="D139" t="str">
        <f t="shared" si="5"/>
        <v>Kolkata</v>
      </c>
      <c r="E139" t="s">
        <v>18</v>
      </c>
      <c r="F139">
        <v>4.59</v>
      </c>
    </row>
    <row r="140" spans="1:6">
      <c r="A140" s="1">
        <v>44593</v>
      </c>
      <c r="B140" s="1" t="str">
        <f t="shared" si="4"/>
        <v>Before 5G</v>
      </c>
      <c r="C140">
        <v>560001</v>
      </c>
      <c r="D140" t="str">
        <f t="shared" si="5"/>
        <v>Bangalore</v>
      </c>
      <c r="E140" t="s">
        <v>18</v>
      </c>
      <c r="F140">
        <v>4.7699999999999996</v>
      </c>
    </row>
    <row r="141" spans="1:6">
      <c r="A141" s="1">
        <v>44593</v>
      </c>
      <c r="B141" s="1" t="str">
        <f t="shared" si="4"/>
        <v>Before 5G</v>
      </c>
      <c r="C141">
        <v>600001</v>
      </c>
      <c r="D141" t="str">
        <f t="shared" si="5"/>
        <v>Chennai</v>
      </c>
      <c r="E141" t="s">
        <v>18</v>
      </c>
      <c r="F141">
        <v>5.95</v>
      </c>
    </row>
    <row r="142" spans="1:6">
      <c r="A142" s="1">
        <v>44593</v>
      </c>
      <c r="B142" s="1" t="str">
        <f t="shared" si="4"/>
        <v>Before 5G</v>
      </c>
      <c r="C142">
        <v>500001</v>
      </c>
      <c r="D142" t="str">
        <f t="shared" si="5"/>
        <v>Hyderabad</v>
      </c>
      <c r="E142" t="s">
        <v>18</v>
      </c>
      <c r="F142">
        <v>3.12</v>
      </c>
    </row>
    <row r="143" spans="1:6">
      <c r="A143" s="1">
        <v>44593</v>
      </c>
      <c r="B143" s="1" t="str">
        <f t="shared" si="4"/>
        <v>Before 5G</v>
      </c>
      <c r="C143">
        <v>411001</v>
      </c>
      <c r="D143" t="str">
        <f t="shared" si="5"/>
        <v>Pune</v>
      </c>
      <c r="E143" t="s">
        <v>18</v>
      </c>
      <c r="F143">
        <v>2.66</v>
      </c>
    </row>
    <row r="144" spans="1:6">
      <c r="A144" s="1">
        <v>44593</v>
      </c>
      <c r="B144" s="1" t="str">
        <f t="shared" si="4"/>
        <v>Before 5G</v>
      </c>
      <c r="C144">
        <v>380001</v>
      </c>
      <c r="D144" t="str">
        <f t="shared" si="5"/>
        <v>Ahmedabad</v>
      </c>
      <c r="E144" t="s">
        <v>18</v>
      </c>
      <c r="F144">
        <v>1.62</v>
      </c>
    </row>
    <row r="145" spans="1:6">
      <c r="A145" s="1">
        <v>44593</v>
      </c>
      <c r="B145" s="1" t="str">
        <f t="shared" si="4"/>
        <v>Before 5G</v>
      </c>
      <c r="C145">
        <v>302001</v>
      </c>
      <c r="D145" t="str">
        <f t="shared" si="5"/>
        <v>Jaipur</v>
      </c>
      <c r="E145" t="s">
        <v>18</v>
      </c>
      <c r="F145">
        <v>1.21</v>
      </c>
    </row>
    <row r="146" spans="1:6">
      <c r="A146" s="1">
        <v>44593</v>
      </c>
      <c r="B146" s="1" t="str">
        <f t="shared" si="4"/>
        <v>Before 5G</v>
      </c>
      <c r="C146">
        <v>226001</v>
      </c>
      <c r="D146" t="str">
        <f t="shared" si="5"/>
        <v>Lucknow</v>
      </c>
      <c r="E146" t="s">
        <v>18</v>
      </c>
      <c r="F146">
        <v>2.8</v>
      </c>
    </row>
    <row r="147" spans="1:6">
      <c r="A147" s="1">
        <v>44593</v>
      </c>
      <c r="B147" s="1" t="str">
        <f t="shared" si="4"/>
        <v>Before 5G</v>
      </c>
      <c r="C147">
        <v>800008</v>
      </c>
      <c r="D147" t="str">
        <f t="shared" si="5"/>
        <v>Patna</v>
      </c>
      <c r="E147" t="s">
        <v>18</v>
      </c>
      <c r="F147">
        <v>1.06</v>
      </c>
    </row>
    <row r="148" spans="1:6">
      <c r="A148" s="1">
        <v>44593</v>
      </c>
      <c r="B148" s="1" t="str">
        <f t="shared" si="4"/>
        <v>Before 5G</v>
      </c>
      <c r="C148">
        <v>641001</v>
      </c>
      <c r="D148" t="str">
        <f t="shared" si="5"/>
        <v>Coimbatore</v>
      </c>
      <c r="E148" t="s">
        <v>18</v>
      </c>
      <c r="F148">
        <v>1.03</v>
      </c>
    </row>
    <row r="149" spans="1:6">
      <c r="A149" s="1">
        <v>44593</v>
      </c>
      <c r="B149" s="1" t="str">
        <f t="shared" si="4"/>
        <v>Before 5G</v>
      </c>
      <c r="C149">
        <v>160017</v>
      </c>
      <c r="D149" t="str">
        <f t="shared" si="5"/>
        <v>Chandigarh</v>
      </c>
      <c r="E149" t="s">
        <v>18</v>
      </c>
      <c r="F149">
        <v>0.51</v>
      </c>
    </row>
    <row r="150" spans="1:6">
      <c r="A150" s="1">
        <v>44593</v>
      </c>
      <c r="B150" s="1" t="str">
        <f t="shared" si="4"/>
        <v>Before 5G</v>
      </c>
      <c r="C150">
        <v>122001</v>
      </c>
      <c r="D150" t="str">
        <f t="shared" si="5"/>
        <v>Gurgaon</v>
      </c>
      <c r="E150" t="s">
        <v>18</v>
      </c>
      <c r="F150">
        <v>0.79</v>
      </c>
    </row>
    <row r="151" spans="1:6">
      <c r="A151" s="1">
        <v>44593</v>
      </c>
      <c r="B151" s="1" t="str">
        <f t="shared" si="4"/>
        <v>Before 5G</v>
      </c>
      <c r="C151">
        <v>492001</v>
      </c>
      <c r="D151" t="str">
        <f t="shared" si="5"/>
        <v>Raipur</v>
      </c>
      <c r="E151" t="s">
        <v>18</v>
      </c>
      <c r="F151">
        <v>0.4</v>
      </c>
    </row>
    <row r="152" spans="1:6">
      <c r="A152" s="1">
        <v>44621</v>
      </c>
      <c r="B152" s="1" t="str">
        <f t="shared" si="4"/>
        <v>Before 5G</v>
      </c>
      <c r="C152">
        <v>400001</v>
      </c>
      <c r="D152" t="str">
        <f t="shared" si="5"/>
        <v>Mumbai</v>
      </c>
      <c r="E152" t="s">
        <v>18</v>
      </c>
      <c r="F152">
        <v>4.93</v>
      </c>
    </row>
    <row r="153" spans="1:6">
      <c r="A153" s="1">
        <v>44621</v>
      </c>
      <c r="B153" s="1" t="str">
        <f t="shared" si="4"/>
        <v>Before 5G</v>
      </c>
      <c r="C153">
        <v>110001</v>
      </c>
      <c r="D153" t="str">
        <f t="shared" si="5"/>
        <v>Delhi</v>
      </c>
      <c r="E153" t="s">
        <v>18</v>
      </c>
      <c r="F153">
        <v>4.38</v>
      </c>
    </row>
    <row r="154" spans="1:6">
      <c r="A154" s="1">
        <v>44621</v>
      </c>
      <c r="B154" s="1" t="str">
        <f t="shared" si="4"/>
        <v>Before 5G</v>
      </c>
      <c r="C154">
        <v>700001</v>
      </c>
      <c r="D154" t="str">
        <f t="shared" si="5"/>
        <v>Kolkata</v>
      </c>
      <c r="E154" t="s">
        <v>18</v>
      </c>
      <c r="F154">
        <v>6.21</v>
      </c>
    </row>
    <row r="155" spans="1:6">
      <c r="A155" s="1">
        <v>44621</v>
      </c>
      <c r="B155" s="1" t="str">
        <f t="shared" si="4"/>
        <v>Before 5G</v>
      </c>
      <c r="C155">
        <v>560001</v>
      </c>
      <c r="D155" t="str">
        <f t="shared" si="5"/>
        <v>Bangalore</v>
      </c>
      <c r="E155" t="s">
        <v>18</v>
      </c>
      <c r="F155">
        <v>4.51</v>
      </c>
    </row>
    <row r="156" spans="1:6">
      <c r="A156" s="1">
        <v>44621</v>
      </c>
      <c r="B156" s="1" t="str">
        <f t="shared" si="4"/>
        <v>Before 5G</v>
      </c>
      <c r="C156">
        <v>600001</v>
      </c>
      <c r="D156" t="str">
        <f t="shared" si="5"/>
        <v>Chennai</v>
      </c>
      <c r="E156" t="s">
        <v>18</v>
      </c>
      <c r="F156">
        <v>2.5</v>
      </c>
    </row>
    <row r="157" spans="1:6">
      <c r="A157" s="1">
        <v>44621</v>
      </c>
      <c r="B157" s="1" t="str">
        <f t="shared" si="4"/>
        <v>Before 5G</v>
      </c>
      <c r="C157">
        <v>500001</v>
      </c>
      <c r="D157" t="str">
        <f t="shared" si="5"/>
        <v>Hyderabad</v>
      </c>
      <c r="E157" t="s">
        <v>18</v>
      </c>
      <c r="F157">
        <v>2.7</v>
      </c>
    </row>
    <row r="158" spans="1:6">
      <c r="A158" s="1">
        <v>44621</v>
      </c>
      <c r="B158" s="1" t="str">
        <f t="shared" si="4"/>
        <v>Before 5G</v>
      </c>
      <c r="C158">
        <v>411001</v>
      </c>
      <c r="D158" t="str">
        <f t="shared" si="5"/>
        <v>Pune</v>
      </c>
      <c r="E158" t="s">
        <v>18</v>
      </c>
      <c r="F158">
        <v>3.19</v>
      </c>
    </row>
    <row r="159" spans="1:6">
      <c r="A159" s="1">
        <v>44621</v>
      </c>
      <c r="B159" s="1" t="str">
        <f t="shared" si="4"/>
        <v>Before 5G</v>
      </c>
      <c r="C159">
        <v>380001</v>
      </c>
      <c r="D159" t="str">
        <f t="shared" si="5"/>
        <v>Ahmedabad</v>
      </c>
      <c r="E159" t="s">
        <v>18</v>
      </c>
      <c r="F159">
        <v>2.89</v>
      </c>
    </row>
    <row r="160" spans="1:6">
      <c r="A160" s="1">
        <v>44621</v>
      </c>
      <c r="B160" s="1" t="str">
        <f t="shared" si="4"/>
        <v>Before 5G</v>
      </c>
      <c r="C160">
        <v>302001</v>
      </c>
      <c r="D160" t="str">
        <f t="shared" si="5"/>
        <v>Jaipur</v>
      </c>
      <c r="E160" t="s">
        <v>18</v>
      </c>
      <c r="F160">
        <v>1.52</v>
      </c>
    </row>
    <row r="161" spans="1:6">
      <c r="A161" s="1">
        <v>44621</v>
      </c>
      <c r="B161" s="1" t="str">
        <f t="shared" si="4"/>
        <v>Before 5G</v>
      </c>
      <c r="C161">
        <v>226001</v>
      </c>
      <c r="D161" t="str">
        <f t="shared" si="5"/>
        <v>Lucknow</v>
      </c>
      <c r="E161" t="s">
        <v>18</v>
      </c>
      <c r="F161">
        <v>1.42</v>
      </c>
    </row>
    <row r="162" spans="1:6">
      <c r="A162" s="1">
        <v>44621</v>
      </c>
      <c r="B162" s="1" t="str">
        <f t="shared" si="4"/>
        <v>Before 5G</v>
      </c>
      <c r="C162">
        <v>800008</v>
      </c>
      <c r="D162" t="str">
        <f t="shared" si="5"/>
        <v>Patna</v>
      </c>
      <c r="E162" t="s">
        <v>18</v>
      </c>
      <c r="F162">
        <v>0.91</v>
      </c>
    </row>
    <row r="163" spans="1:6">
      <c r="A163" s="1">
        <v>44621</v>
      </c>
      <c r="B163" s="1" t="str">
        <f t="shared" si="4"/>
        <v>Before 5G</v>
      </c>
      <c r="C163">
        <v>641001</v>
      </c>
      <c r="D163" t="str">
        <f t="shared" si="5"/>
        <v>Coimbatore</v>
      </c>
      <c r="E163" t="s">
        <v>18</v>
      </c>
      <c r="F163">
        <v>1.72</v>
      </c>
    </row>
    <row r="164" spans="1:6">
      <c r="A164" s="1">
        <v>44621</v>
      </c>
      <c r="B164" s="1" t="str">
        <f t="shared" si="4"/>
        <v>Before 5G</v>
      </c>
      <c r="C164">
        <v>160017</v>
      </c>
      <c r="D164" t="str">
        <f t="shared" si="5"/>
        <v>Chandigarh</v>
      </c>
      <c r="E164" t="s">
        <v>18</v>
      </c>
      <c r="F164">
        <v>0.85</v>
      </c>
    </row>
    <row r="165" spans="1:6">
      <c r="A165" s="1">
        <v>44621</v>
      </c>
      <c r="B165" s="1" t="str">
        <f t="shared" si="4"/>
        <v>Before 5G</v>
      </c>
      <c r="C165">
        <v>122001</v>
      </c>
      <c r="D165" t="str">
        <f t="shared" si="5"/>
        <v>Gurgaon</v>
      </c>
      <c r="E165" t="s">
        <v>18</v>
      </c>
      <c r="F165">
        <v>0.5</v>
      </c>
    </row>
    <row r="166" spans="1:6">
      <c r="A166" s="1">
        <v>44621</v>
      </c>
      <c r="B166" s="1" t="str">
        <f t="shared" si="4"/>
        <v>Before 5G</v>
      </c>
      <c r="C166">
        <v>492001</v>
      </c>
      <c r="D166" t="str">
        <f t="shared" si="5"/>
        <v>Raipur</v>
      </c>
      <c r="E166" t="s">
        <v>18</v>
      </c>
      <c r="F166">
        <v>0.33</v>
      </c>
    </row>
    <row r="167" spans="1:6">
      <c r="A167" s="1">
        <v>44652</v>
      </c>
      <c r="B167" s="1" t="str">
        <f t="shared" si="4"/>
        <v>Before 5G</v>
      </c>
      <c r="C167">
        <v>400001</v>
      </c>
      <c r="D167" t="str">
        <f t="shared" si="5"/>
        <v>Mumbai</v>
      </c>
      <c r="E167" t="s">
        <v>18</v>
      </c>
      <c r="F167">
        <v>5.09</v>
      </c>
    </row>
    <row r="168" spans="1:6">
      <c r="A168" s="1">
        <v>44652</v>
      </c>
      <c r="B168" s="1" t="str">
        <f t="shared" si="4"/>
        <v>Before 5G</v>
      </c>
      <c r="C168">
        <v>110001</v>
      </c>
      <c r="D168" t="str">
        <f t="shared" si="5"/>
        <v>Delhi</v>
      </c>
      <c r="E168" t="s">
        <v>18</v>
      </c>
      <c r="F168">
        <v>3.83</v>
      </c>
    </row>
    <row r="169" spans="1:6">
      <c r="A169" s="1">
        <v>44652</v>
      </c>
      <c r="B169" s="1" t="str">
        <f t="shared" si="4"/>
        <v>Before 5G</v>
      </c>
      <c r="C169">
        <v>700001</v>
      </c>
      <c r="D169" t="str">
        <f t="shared" si="5"/>
        <v>Kolkata</v>
      </c>
      <c r="E169" t="s">
        <v>18</v>
      </c>
      <c r="F169">
        <v>4.3600000000000003</v>
      </c>
    </row>
    <row r="170" spans="1:6">
      <c r="A170" s="1">
        <v>44652</v>
      </c>
      <c r="B170" s="1" t="str">
        <f t="shared" si="4"/>
        <v>Before 5G</v>
      </c>
      <c r="C170">
        <v>560001</v>
      </c>
      <c r="D170" t="str">
        <f t="shared" si="5"/>
        <v>Bangalore</v>
      </c>
      <c r="E170" t="s">
        <v>18</v>
      </c>
      <c r="F170">
        <v>4.22</v>
      </c>
    </row>
    <row r="171" spans="1:6">
      <c r="A171" s="1">
        <v>44652</v>
      </c>
      <c r="B171" s="1" t="str">
        <f t="shared" si="4"/>
        <v>Before 5G</v>
      </c>
      <c r="C171">
        <v>600001</v>
      </c>
      <c r="D171" t="str">
        <f t="shared" si="5"/>
        <v>Chennai</v>
      </c>
      <c r="E171" t="s">
        <v>18</v>
      </c>
      <c r="F171">
        <v>3.31</v>
      </c>
    </row>
    <row r="172" spans="1:6">
      <c r="A172" s="1">
        <v>44652</v>
      </c>
      <c r="B172" s="1" t="str">
        <f t="shared" si="4"/>
        <v>Before 5G</v>
      </c>
      <c r="C172">
        <v>500001</v>
      </c>
      <c r="D172" t="str">
        <f t="shared" si="5"/>
        <v>Hyderabad</v>
      </c>
      <c r="E172" t="s">
        <v>18</v>
      </c>
      <c r="F172">
        <v>2.2200000000000002</v>
      </c>
    </row>
    <row r="173" spans="1:6">
      <c r="A173" s="1">
        <v>44652</v>
      </c>
      <c r="B173" s="1" t="str">
        <f t="shared" si="4"/>
        <v>Before 5G</v>
      </c>
      <c r="C173">
        <v>411001</v>
      </c>
      <c r="D173" t="str">
        <f t="shared" si="5"/>
        <v>Pune</v>
      </c>
      <c r="E173" t="s">
        <v>18</v>
      </c>
      <c r="F173">
        <v>4.71</v>
      </c>
    </row>
    <row r="174" spans="1:6">
      <c r="A174" s="1">
        <v>44652</v>
      </c>
      <c r="B174" s="1" t="str">
        <f t="shared" si="4"/>
        <v>Before 5G</v>
      </c>
      <c r="C174">
        <v>380001</v>
      </c>
      <c r="D174" t="str">
        <f t="shared" si="5"/>
        <v>Ahmedabad</v>
      </c>
      <c r="E174" t="s">
        <v>18</v>
      </c>
      <c r="F174">
        <v>2.56</v>
      </c>
    </row>
    <row r="175" spans="1:6">
      <c r="A175" s="1">
        <v>44652</v>
      </c>
      <c r="B175" s="1" t="str">
        <f t="shared" si="4"/>
        <v>Before 5G</v>
      </c>
      <c r="C175">
        <v>302001</v>
      </c>
      <c r="D175" t="str">
        <f t="shared" si="5"/>
        <v>Jaipur</v>
      </c>
      <c r="E175" t="s">
        <v>18</v>
      </c>
      <c r="F175">
        <v>1.36</v>
      </c>
    </row>
    <row r="176" spans="1:6">
      <c r="A176" s="1">
        <v>44652</v>
      </c>
      <c r="B176" s="1" t="str">
        <f t="shared" si="4"/>
        <v>Before 5G</v>
      </c>
      <c r="C176">
        <v>226001</v>
      </c>
      <c r="D176" t="str">
        <f t="shared" si="5"/>
        <v>Lucknow</v>
      </c>
      <c r="E176" t="s">
        <v>18</v>
      </c>
      <c r="F176">
        <v>1.25</v>
      </c>
    </row>
    <row r="177" spans="1:6">
      <c r="A177" s="1">
        <v>44652</v>
      </c>
      <c r="B177" s="1" t="str">
        <f t="shared" si="4"/>
        <v>Before 5G</v>
      </c>
      <c r="C177">
        <v>800008</v>
      </c>
      <c r="D177" t="str">
        <f t="shared" si="5"/>
        <v>Patna</v>
      </c>
      <c r="E177" t="s">
        <v>18</v>
      </c>
      <c r="F177">
        <v>1.05</v>
      </c>
    </row>
    <row r="178" spans="1:6">
      <c r="A178" s="1">
        <v>44652</v>
      </c>
      <c r="B178" s="1" t="str">
        <f t="shared" si="4"/>
        <v>Before 5G</v>
      </c>
      <c r="C178">
        <v>641001</v>
      </c>
      <c r="D178" t="str">
        <f t="shared" si="5"/>
        <v>Coimbatore</v>
      </c>
      <c r="E178" t="s">
        <v>18</v>
      </c>
      <c r="F178">
        <v>0.92</v>
      </c>
    </row>
    <row r="179" spans="1:6">
      <c r="A179" s="1">
        <v>44652</v>
      </c>
      <c r="B179" s="1" t="str">
        <f t="shared" si="4"/>
        <v>Before 5G</v>
      </c>
      <c r="C179">
        <v>160017</v>
      </c>
      <c r="D179" t="str">
        <f t="shared" si="5"/>
        <v>Chandigarh</v>
      </c>
      <c r="E179" t="s">
        <v>18</v>
      </c>
      <c r="F179">
        <v>1.01</v>
      </c>
    </row>
    <row r="180" spans="1:6">
      <c r="A180" s="1">
        <v>44652</v>
      </c>
      <c r="B180" s="1" t="str">
        <f t="shared" si="4"/>
        <v>Before 5G</v>
      </c>
      <c r="C180">
        <v>122001</v>
      </c>
      <c r="D180" t="str">
        <f t="shared" si="5"/>
        <v>Gurgaon</v>
      </c>
      <c r="E180" t="s">
        <v>18</v>
      </c>
      <c r="F180">
        <v>0.52</v>
      </c>
    </row>
    <row r="181" spans="1:6">
      <c r="A181" s="1">
        <v>44652</v>
      </c>
      <c r="B181" s="1" t="str">
        <f t="shared" si="4"/>
        <v>Before 5G</v>
      </c>
      <c r="C181">
        <v>492001</v>
      </c>
      <c r="D181" t="str">
        <f t="shared" si="5"/>
        <v>Raipur</v>
      </c>
      <c r="E181" t="s">
        <v>18</v>
      </c>
      <c r="F181">
        <v>0.36</v>
      </c>
    </row>
    <row r="182" spans="1:6">
      <c r="A182" s="1">
        <v>44713</v>
      </c>
      <c r="B182" s="1" t="str">
        <f t="shared" si="4"/>
        <v>After 5G</v>
      </c>
      <c r="C182">
        <v>400001</v>
      </c>
      <c r="D182" t="str">
        <f t="shared" si="5"/>
        <v>Mumbai</v>
      </c>
      <c r="E182" t="s">
        <v>18</v>
      </c>
      <c r="F182">
        <v>6.47</v>
      </c>
    </row>
    <row r="183" spans="1:6">
      <c r="A183" s="1">
        <v>44713</v>
      </c>
      <c r="B183" s="1" t="str">
        <f t="shared" si="4"/>
        <v>After 5G</v>
      </c>
      <c r="C183">
        <v>110001</v>
      </c>
      <c r="D183" t="str">
        <f t="shared" si="5"/>
        <v>Delhi</v>
      </c>
      <c r="E183" t="s">
        <v>18</v>
      </c>
      <c r="F183">
        <v>3.68</v>
      </c>
    </row>
    <row r="184" spans="1:6">
      <c r="A184" s="1">
        <v>44713</v>
      </c>
      <c r="B184" s="1" t="str">
        <f t="shared" si="4"/>
        <v>After 5G</v>
      </c>
      <c r="C184">
        <v>700001</v>
      </c>
      <c r="D184" t="str">
        <f t="shared" si="5"/>
        <v>Kolkata</v>
      </c>
      <c r="E184" t="s">
        <v>18</v>
      </c>
      <c r="F184">
        <v>3.09</v>
      </c>
    </row>
    <row r="185" spans="1:6">
      <c r="A185" s="1">
        <v>44713</v>
      </c>
      <c r="B185" s="1" t="str">
        <f t="shared" si="4"/>
        <v>After 5G</v>
      </c>
      <c r="C185">
        <v>560001</v>
      </c>
      <c r="D185" t="str">
        <f t="shared" si="5"/>
        <v>Bangalore</v>
      </c>
      <c r="E185" t="s">
        <v>18</v>
      </c>
      <c r="F185">
        <v>4.0199999999999996</v>
      </c>
    </row>
    <row r="186" spans="1:6">
      <c r="A186" s="1">
        <v>44713</v>
      </c>
      <c r="B186" s="1" t="str">
        <f t="shared" si="4"/>
        <v>After 5G</v>
      </c>
      <c r="C186">
        <v>600001</v>
      </c>
      <c r="D186" t="str">
        <f t="shared" si="5"/>
        <v>Chennai</v>
      </c>
      <c r="E186" t="s">
        <v>18</v>
      </c>
      <c r="F186">
        <v>2.91</v>
      </c>
    </row>
    <row r="187" spans="1:6">
      <c r="A187" s="1">
        <v>44713</v>
      </c>
      <c r="B187" s="1" t="str">
        <f t="shared" si="4"/>
        <v>After 5G</v>
      </c>
      <c r="C187">
        <v>500001</v>
      </c>
      <c r="D187" t="str">
        <f t="shared" si="5"/>
        <v>Hyderabad</v>
      </c>
      <c r="E187" t="s">
        <v>18</v>
      </c>
      <c r="F187">
        <v>2.64</v>
      </c>
    </row>
    <row r="188" spans="1:6">
      <c r="A188" s="1">
        <v>44713</v>
      </c>
      <c r="B188" s="1" t="str">
        <f t="shared" si="4"/>
        <v>After 5G</v>
      </c>
      <c r="C188">
        <v>411001</v>
      </c>
      <c r="D188" t="str">
        <f t="shared" si="5"/>
        <v>Pune</v>
      </c>
      <c r="E188" t="s">
        <v>18</v>
      </c>
      <c r="F188">
        <v>2.16</v>
      </c>
    </row>
    <row r="189" spans="1:6">
      <c r="A189" s="1">
        <v>44713</v>
      </c>
      <c r="B189" s="1" t="str">
        <f t="shared" si="4"/>
        <v>After 5G</v>
      </c>
      <c r="C189">
        <v>380001</v>
      </c>
      <c r="D189" t="str">
        <f t="shared" si="5"/>
        <v>Ahmedabad</v>
      </c>
      <c r="E189" t="s">
        <v>18</v>
      </c>
      <c r="F189">
        <v>2.1</v>
      </c>
    </row>
    <row r="190" spans="1:6">
      <c r="A190" s="1">
        <v>44713</v>
      </c>
      <c r="B190" s="1" t="str">
        <f t="shared" si="4"/>
        <v>After 5G</v>
      </c>
      <c r="C190">
        <v>302001</v>
      </c>
      <c r="D190" t="str">
        <f t="shared" si="5"/>
        <v>Jaipur</v>
      </c>
      <c r="E190" t="s">
        <v>18</v>
      </c>
      <c r="F190">
        <v>2.12</v>
      </c>
    </row>
    <row r="191" spans="1:6">
      <c r="A191" s="1">
        <v>44713</v>
      </c>
      <c r="B191" s="1" t="str">
        <f t="shared" si="4"/>
        <v>After 5G</v>
      </c>
      <c r="C191">
        <v>226001</v>
      </c>
      <c r="D191" t="str">
        <f t="shared" si="5"/>
        <v>Lucknow</v>
      </c>
      <c r="E191" t="s">
        <v>18</v>
      </c>
      <c r="F191">
        <v>0.99</v>
      </c>
    </row>
    <row r="192" spans="1:6">
      <c r="A192" s="1">
        <v>44713</v>
      </c>
      <c r="B192" s="1" t="str">
        <f t="shared" si="4"/>
        <v>After 5G</v>
      </c>
      <c r="C192">
        <v>800008</v>
      </c>
      <c r="D192" t="str">
        <f t="shared" si="5"/>
        <v>Patna</v>
      </c>
      <c r="E192" t="s">
        <v>18</v>
      </c>
      <c r="F192">
        <v>1.57</v>
      </c>
    </row>
    <row r="193" spans="1:6">
      <c r="A193" s="1">
        <v>44713</v>
      </c>
      <c r="B193" s="1" t="str">
        <f t="shared" si="4"/>
        <v>After 5G</v>
      </c>
      <c r="C193">
        <v>641001</v>
      </c>
      <c r="D193" t="str">
        <f t="shared" si="5"/>
        <v>Coimbatore</v>
      </c>
      <c r="E193" t="s">
        <v>18</v>
      </c>
      <c r="F193">
        <v>0.72</v>
      </c>
    </row>
    <row r="194" spans="1:6">
      <c r="A194" s="1">
        <v>44713</v>
      </c>
      <c r="B194" s="1" t="str">
        <f t="shared" si="4"/>
        <v>After 5G</v>
      </c>
      <c r="C194">
        <v>160017</v>
      </c>
      <c r="D194" t="str">
        <f t="shared" si="5"/>
        <v>Chandigarh</v>
      </c>
      <c r="E194" t="s">
        <v>18</v>
      </c>
      <c r="F194">
        <v>0.64</v>
      </c>
    </row>
    <row r="195" spans="1:6">
      <c r="A195" s="1">
        <v>44713</v>
      </c>
      <c r="B195" s="1" t="str">
        <f t="shared" ref="B195:B258" si="6">VLOOKUP(A195,$H$2:$K$9,3,FALSE)</f>
        <v>After 5G</v>
      </c>
      <c r="C195">
        <v>122001</v>
      </c>
      <c r="D195" t="str">
        <f t="shared" ref="D195:D258" si="7">VLOOKUP(C195,$M$2:$N$16,2,FALSE)</f>
        <v>Gurgaon</v>
      </c>
      <c r="E195" t="s">
        <v>18</v>
      </c>
      <c r="F195">
        <v>0.47</v>
      </c>
    </row>
    <row r="196" spans="1:6">
      <c r="A196" s="1">
        <v>44713</v>
      </c>
      <c r="B196" s="1" t="str">
        <f t="shared" si="6"/>
        <v>After 5G</v>
      </c>
      <c r="C196">
        <v>492001</v>
      </c>
      <c r="D196" t="str">
        <f t="shared" si="7"/>
        <v>Raipur</v>
      </c>
      <c r="E196" t="s">
        <v>18</v>
      </c>
      <c r="F196">
        <v>0.41</v>
      </c>
    </row>
    <row r="197" spans="1:6">
      <c r="A197" s="1">
        <v>44743</v>
      </c>
      <c r="B197" s="1" t="str">
        <f t="shared" si="6"/>
        <v>After 5G</v>
      </c>
      <c r="C197">
        <v>400001</v>
      </c>
      <c r="D197" t="str">
        <f t="shared" si="7"/>
        <v>Mumbai</v>
      </c>
      <c r="E197" t="s">
        <v>18</v>
      </c>
      <c r="F197">
        <v>5.81</v>
      </c>
    </row>
    <row r="198" spans="1:6">
      <c r="A198" s="1">
        <v>44743</v>
      </c>
      <c r="B198" s="1" t="str">
        <f t="shared" si="6"/>
        <v>After 5G</v>
      </c>
      <c r="C198">
        <v>110001</v>
      </c>
      <c r="D198" t="str">
        <f t="shared" si="7"/>
        <v>Delhi</v>
      </c>
      <c r="E198" t="s">
        <v>18</v>
      </c>
      <c r="F198">
        <v>4.79</v>
      </c>
    </row>
    <row r="199" spans="1:6">
      <c r="A199" s="1">
        <v>44743</v>
      </c>
      <c r="B199" s="1" t="str">
        <f t="shared" si="6"/>
        <v>After 5G</v>
      </c>
      <c r="C199">
        <v>700001</v>
      </c>
      <c r="D199" t="str">
        <f t="shared" si="7"/>
        <v>Kolkata</v>
      </c>
      <c r="E199" t="s">
        <v>18</v>
      </c>
      <c r="F199">
        <v>3.41</v>
      </c>
    </row>
    <row r="200" spans="1:6">
      <c r="A200" s="1">
        <v>44743</v>
      </c>
      <c r="B200" s="1" t="str">
        <f t="shared" si="6"/>
        <v>After 5G</v>
      </c>
      <c r="C200">
        <v>560001</v>
      </c>
      <c r="D200" t="str">
        <f t="shared" si="7"/>
        <v>Bangalore</v>
      </c>
      <c r="E200" t="s">
        <v>18</v>
      </c>
      <c r="F200">
        <v>4.3899999999999997</v>
      </c>
    </row>
    <row r="201" spans="1:6">
      <c r="A201" s="1">
        <v>44743</v>
      </c>
      <c r="B201" s="1" t="str">
        <f t="shared" si="6"/>
        <v>After 5G</v>
      </c>
      <c r="C201">
        <v>600001</v>
      </c>
      <c r="D201" t="str">
        <f t="shared" si="7"/>
        <v>Chennai</v>
      </c>
      <c r="E201" t="s">
        <v>18</v>
      </c>
      <c r="F201">
        <v>5.09</v>
      </c>
    </row>
    <row r="202" spans="1:6">
      <c r="A202" s="1">
        <v>44743</v>
      </c>
      <c r="B202" s="1" t="str">
        <f t="shared" si="6"/>
        <v>After 5G</v>
      </c>
      <c r="C202">
        <v>500001</v>
      </c>
      <c r="D202" t="str">
        <f t="shared" si="7"/>
        <v>Hyderabad</v>
      </c>
      <c r="E202" t="s">
        <v>18</v>
      </c>
      <c r="F202">
        <v>3.12</v>
      </c>
    </row>
    <row r="203" spans="1:6">
      <c r="A203" s="1">
        <v>44743</v>
      </c>
      <c r="B203" s="1" t="str">
        <f t="shared" si="6"/>
        <v>After 5G</v>
      </c>
      <c r="C203">
        <v>411001</v>
      </c>
      <c r="D203" t="str">
        <f t="shared" si="7"/>
        <v>Pune</v>
      </c>
      <c r="E203" t="s">
        <v>18</v>
      </c>
      <c r="F203">
        <v>2.44</v>
      </c>
    </row>
    <row r="204" spans="1:6">
      <c r="A204" s="1">
        <v>44743</v>
      </c>
      <c r="B204" s="1" t="str">
        <f t="shared" si="6"/>
        <v>After 5G</v>
      </c>
      <c r="C204">
        <v>380001</v>
      </c>
      <c r="D204" t="str">
        <f t="shared" si="7"/>
        <v>Ahmedabad</v>
      </c>
      <c r="E204" t="s">
        <v>18</v>
      </c>
      <c r="F204">
        <v>2.06</v>
      </c>
    </row>
    <row r="205" spans="1:6">
      <c r="A205" s="1">
        <v>44743</v>
      </c>
      <c r="B205" s="1" t="str">
        <f t="shared" si="6"/>
        <v>After 5G</v>
      </c>
      <c r="C205">
        <v>302001</v>
      </c>
      <c r="D205" t="str">
        <f t="shared" si="7"/>
        <v>Jaipur</v>
      </c>
      <c r="E205" t="s">
        <v>18</v>
      </c>
      <c r="F205">
        <v>1.38</v>
      </c>
    </row>
    <row r="206" spans="1:6">
      <c r="A206" s="1">
        <v>44743</v>
      </c>
      <c r="B206" s="1" t="str">
        <f t="shared" si="6"/>
        <v>After 5G</v>
      </c>
      <c r="C206">
        <v>226001</v>
      </c>
      <c r="D206" t="str">
        <f t="shared" si="7"/>
        <v>Lucknow</v>
      </c>
      <c r="E206" t="s">
        <v>18</v>
      </c>
      <c r="F206">
        <v>2.2799999999999998</v>
      </c>
    </row>
    <row r="207" spans="1:6">
      <c r="A207" s="1">
        <v>44743</v>
      </c>
      <c r="B207" s="1" t="str">
        <f t="shared" si="6"/>
        <v>After 5G</v>
      </c>
      <c r="C207">
        <v>800008</v>
      </c>
      <c r="D207" t="str">
        <f t="shared" si="7"/>
        <v>Patna</v>
      </c>
      <c r="E207" t="s">
        <v>18</v>
      </c>
      <c r="F207">
        <v>0.92</v>
      </c>
    </row>
    <row r="208" spans="1:6">
      <c r="A208" s="1">
        <v>44743</v>
      </c>
      <c r="B208" s="1" t="str">
        <f t="shared" si="6"/>
        <v>After 5G</v>
      </c>
      <c r="C208">
        <v>641001</v>
      </c>
      <c r="D208" t="str">
        <f t="shared" si="7"/>
        <v>Coimbatore</v>
      </c>
      <c r="E208" t="s">
        <v>18</v>
      </c>
      <c r="F208">
        <v>1.1200000000000001</v>
      </c>
    </row>
    <row r="209" spans="1:6">
      <c r="A209" s="1">
        <v>44743</v>
      </c>
      <c r="B209" s="1" t="str">
        <f t="shared" si="6"/>
        <v>After 5G</v>
      </c>
      <c r="C209">
        <v>160017</v>
      </c>
      <c r="D209" t="str">
        <f t="shared" si="7"/>
        <v>Chandigarh</v>
      </c>
      <c r="E209" t="s">
        <v>18</v>
      </c>
      <c r="F209">
        <v>0.56000000000000005</v>
      </c>
    </row>
    <row r="210" spans="1:6">
      <c r="A210" s="1">
        <v>44743</v>
      </c>
      <c r="B210" s="1" t="str">
        <f t="shared" si="6"/>
        <v>After 5G</v>
      </c>
      <c r="C210">
        <v>122001</v>
      </c>
      <c r="D210" t="str">
        <f t="shared" si="7"/>
        <v>Gurgaon</v>
      </c>
      <c r="E210" t="s">
        <v>18</v>
      </c>
      <c r="F210">
        <v>0.96</v>
      </c>
    </row>
    <row r="211" spans="1:6">
      <c r="A211" s="1">
        <v>44743</v>
      </c>
      <c r="B211" s="1" t="str">
        <f t="shared" si="6"/>
        <v>After 5G</v>
      </c>
      <c r="C211">
        <v>492001</v>
      </c>
      <c r="D211" t="str">
        <f t="shared" si="7"/>
        <v>Raipur</v>
      </c>
      <c r="E211" t="s">
        <v>18</v>
      </c>
      <c r="F211">
        <v>0.46</v>
      </c>
    </row>
    <row r="212" spans="1:6">
      <c r="A212" s="1">
        <v>44774</v>
      </c>
      <c r="B212" s="1" t="str">
        <f t="shared" si="6"/>
        <v>After 5G</v>
      </c>
      <c r="C212">
        <v>400001</v>
      </c>
      <c r="D212" t="str">
        <f t="shared" si="7"/>
        <v>Mumbai</v>
      </c>
      <c r="E212" t="s">
        <v>18</v>
      </c>
      <c r="F212">
        <v>5.26</v>
      </c>
    </row>
    <row r="213" spans="1:6">
      <c r="A213" s="1">
        <v>44774</v>
      </c>
      <c r="B213" s="1" t="str">
        <f t="shared" si="6"/>
        <v>After 5G</v>
      </c>
      <c r="C213">
        <v>110001</v>
      </c>
      <c r="D213" t="str">
        <f t="shared" si="7"/>
        <v>Delhi</v>
      </c>
      <c r="E213" t="s">
        <v>18</v>
      </c>
      <c r="F213">
        <v>4.49</v>
      </c>
    </row>
    <row r="214" spans="1:6">
      <c r="A214" s="1">
        <v>44774</v>
      </c>
      <c r="B214" s="1" t="str">
        <f t="shared" si="6"/>
        <v>After 5G</v>
      </c>
      <c r="C214">
        <v>700001</v>
      </c>
      <c r="D214" t="str">
        <f t="shared" si="7"/>
        <v>Kolkata</v>
      </c>
      <c r="E214" t="s">
        <v>18</v>
      </c>
      <c r="F214">
        <v>6.82</v>
      </c>
    </row>
    <row r="215" spans="1:6">
      <c r="A215" s="1">
        <v>44774</v>
      </c>
      <c r="B215" s="1" t="str">
        <f t="shared" si="6"/>
        <v>After 5G</v>
      </c>
      <c r="C215">
        <v>560001</v>
      </c>
      <c r="D215" t="str">
        <f t="shared" si="7"/>
        <v>Bangalore</v>
      </c>
      <c r="E215" t="s">
        <v>18</v>
      </c>
      <c r="F215">
        <v>4.16</v>
      </c>
    </row>
    <row r="216" spans="1:6">
      <c r="A216" s="1">
        <v>44774</v>
      </c>
      <c r="B216" s="1" t="str">
        <f t="shared" si="6"/>
        <v>After 5G</v>
      </c>
      <c r="C216">
        <v>600001</v>
      </c>
      <c r="D216" t="str">
        <f t="shared" si="7"/>
        <v>Chennai</v>
      </c>
      <c r="E216" t="s">
        <v>18</v>
      </c>
      <c r="F216">
        <v>3.26</v>
      </c>
    </row>
    <row r="217" spans="1:6">
      <c r="A217" s="1">
        <v>44774</v>
      </c>
      <c r="B217" s="1" t="str">
        <f t="shared" si="6"/>
        <v>After 5G</v>
      </c>
      <c r="C217">
        <v>500001</v>
      </c>
      <c r="D217" t="str">
        <f t="shared" si="7"/>
        <v>Hyderabad</v>
      </c>
      <c r="E217" t="s">
        <v>18</v>
      </c>
      <c r="F217">
        <v>2.76</v>
      </c>
    </row>
    <row r="218" spans="1:6">
      <c r="A218" s="1">
        <v>44774</v>
      </c>
      <c r="B218" s="1" t="str">
        <f t="shared" si="6"/>
        <v>After 5G</v>
      </c>
      <c r="C218">
        <v>411001</v>
      </c>
      <c r="D218" t="str">
        <f t="shared" si="7"/>
        <v>Pune</v>
      </c>
      <c r="E218" t="s">
        <v>18</v>
      </c>
      <c r="F218">
        <v>2.6</v>
      </c>
    </row>
    <row r="219" spans="1:6">
      <c r="A219" s="1">
        <v>44774</v>
      </c>
      <c r="B219" s="1" t="str">
        <f t="shared" si="6"/>
        <v>After 5G</v>
      </c>
      <c r="C219">
        <v>380001</v>
      </c>
      <c r="D219" t="str">
        <f t="shared" si="7"/>
        <v>Ahmedabad</v>
      </c>
      <c r="E219" t="s">
        <v>18</v>
      </c>
      <c r="F219">
        <v>2.54</v>
      </c>
    </row>
    <row r="220" spans="1:6">
      <c r="A220" s="1">
        <v>44774</v>
      </c>
      <c r="B220" s="1" t="str">
        <f t="shared" si="6"/>
        <v>After 5G</v>
      </c>
      <c r="C220">
        <v>302001</v>
      </c>
      <c r="D220" t="str">
        <f t="shared" si="7"/>
        <v>Jaipur</v>
      </c>
      <c r="E220" t="s">
        <v>18</v>
      </c>
      <c r="F220">
        <v>1.52</v>
      </c>
    </row>
    <row r="221" spans="1:6">
      <c r="A221" s="1">
        <v>44774</v>
      </c>
      <c r="B221" s="1" t="str">
        <f t="shared" si="6"/>
        <v>After 5G</v>
      </c>
      <c r="C221">
        <v>226001</v>
      </c>
      <c r="D221" t="str">
        <f t="shared" si="7"/>
        <v>Lucknow</v>
      </c>
      <c r="E221" t="s">
        <v>18</v>
      </c>
      <c r="F221">
        <v>1.57</v>
      </c>
    </row>
    <row r="222" spans="1:6">
      <c r="A222" s="1">
        <v>44774</v>
      </c>
      <c r="B222" s="1" t="str">
        <f t="shared" si="6"/>
        <v>After 5G</v>
      </c>
      <c r="C222">
        <v>800008</v>
      </c>
      <c r="D222" t="str">
        <f t="shared" si="7"/>
        <v>Patna</v>
      </c>
      <c r="E222" t="s">
        <v>18</v>
      </c>
      <c r="F222">
        <v>0.98</v>
      </c>
    </row>
    <row r="223" spans="1:6">
      <c r="A223" s="1">
        <v>44774</v>
      </c>
      <c r="B223" s="1" t="str">
        <f t="shared" si="6"/>
        <v>After 5G</v>
      </c>
      <c r="C223">
        <v>641001</v>
      </c>
      <c r="D223" t="str">
        <f t="shared" si="7"/>
        <v>Coimbatore</v>
      </c>
      <c r="E223" t="s">
        <v>18</v>
      </c>
      <c r="F223">
        <v>1.63</v>
      </c>
    </row>
    <row r="224" spans="1:6">
      <c r="A224" s="1">
        <v>44774</v>
      </c>
      <c r="B224" s="1" t="str">
        <f t="shared" si="6"/>
        <v>After 5G</v>
      </c>
      <c r="C224">
        <v>160017</v>
      </c>
      <c r="D224" t="str">
        <f t="shared" si="7"/>
        <v>Chandigarh</v>
      </c>
      <c r="E224" t="s">
        <v>18</v>
      </c>
      <c r="F224">
        <v>0.66</v>
      </c>
    </row>
    <row r="225" spans="1:6">
      <c r="A225" s="1">
        <v>44774</v>
      </c>
      <c r="B225" s="1" t="str">
        <f t="shared" si="6"/>
        <v>After 5G</v>
      </c>
      <c r="C225">
        <v>122001</v>
      </c>
      <c r="D225" t="str">
        <f t="shared" si="7"/>
        <v>Gurgaon</v>
      </c>
      <c r="E225" t="s">
        <v>18</v>
      </c>
      <c r="F225">
        <v>0.56999999999999995</v>
      </c>
    </row>
    <row r="226" spans="1:6">
      <c r="A226" s="1">
        <v>44774</v>
      </c>
      <c r="B226" s="1" t="str">
        <f t="shared" si="6"/>
        <v>After 5G</v>
      </c>
      <c r="C226">
        <v>492001</v>
      </c>
      <c r="D226" t="str">
        <f t="shared" si="7"/>
        <v>Raipur</v>
      </c>
      <c r="E226" t="s">
        <v>18</v>
      </c>
      <c r="F226">
        <v>0.37</v>
      </c>
    </row>
    <row r="227" spans="1:6">
      <c r="A227" s="1">
        <v>44805</v>
      </c>
      <c r="B227" s="1" t="str">
        <f t="shared" si="6"/>
        <v>After 5G</v>
      </c>
      <c r="C227">
        <v>400001</v>
      </c>
      <c r="D227" t="str">
        <f t="shared" si="7"/>
        <v>Mumbai</v>
      </c>
      <c r="E227" t="s">
        <v>18</v>
      </c>
      <c r="F227">
        <v>5.46</v>
      </c>
    </row>
    <row r="228" spans="1:6">
      <c r="A228" s="1">
        <v>44805</v>
      </c>
      <c r="B228" s="1" t="str">
        <f t="shared" si="6"/>
        <v>After 5G</v>
      </c>
      <c r="C228">
        <v>110001</v>
      </c>
      <c r="D228" t="str">
        <f t="shared" si="7"/>
        <v>Delhi</v>
      </c>
      <c r="E228" t="s">
        <v>18</v>
      </c>
      <c r="F228">
        <v>5.47</v>
      </c>
    </row>
    <row r="229" spans="1:6">
      <c r="A229" s="1">
        <v>44805</v>
      </c>
      <c r="B229" s="1" t="str">
        <f t="shared" si="6"/>
        <v>After 5G</v>
      </c>
      <c r="C229">
        <v>700001</v>
      </c>
      <c r="D229" t="str">
        <f t="shared" si="7"/>
        <v>Kolkata</v>
      </c>
      <c r="E229" t="s">
        <v>18</v>
      </c>
      <c r="F229">
        <v>4.32</v>
      </c>
    </row>
    <row r="230" spans="1:6">
      <c r="A230" s="1">
        <v>44805</v>
      </c>
      <c r="B230" s="1" t="str">
        <f t="shared" si="6"/>
        <v>After 5G</v>
      </c>
      <c r="C230">
        <v>560001</v>
      </c>
      <c r="D230" t="str">
        <f t="shared" si="7"/>
        <v>Bangalore</v>
      </c>
      <c r="E230" t="s">
        <v>18</v>
      </c>
      <c r="F230">
        <v>3.85</v>
      </c>
    </row>
    <row r="231" spans="1:6">
      <c r="A231" s="1">
        <v>44805</v>
      </c>
      <c r="B231" s="1" t="str">
        <f t="shared" si="6"/>
        <v>After 5G</v>
      </c>
      <c r="C231">
        <v>600001</v>
      </c>
      <c r="D231" t="str">
        <f t="shared" si="7"/>
        <v>Chennai</v>
      </c>
      <c r="E231" t="s">
        <v>18</v>
      </c>
      <c r="F231">
        <v>2.6</v>
      </c>
    </row>
    <row r="232" spans="1:6">
      <c r="A232" s="1">
        <v>44805</v>
      </c>
      <c r="B232" s="1" t="str">
        <f t="shared" si="6"/>
        <v>After 5G</v>
      </c>
      <c r="C232">
        <v>500001</v>
      </c>
      <c r="D232" t="str">
        <f t="shared" si="7"/>
        <v>Hyderabad</v>
      </c>
      <c r="E232" t="s">
        <v>18</v>
      </c>
      <c r="F232">
        <v>2.34</v>
      </c>
    </row>
    <row r="233" spans="1:6">
      <c r="A233" s="1">
        <v>44805</v>
      </c>
      <c r="B233" s="1" t="str">
        <f t="shared" si="6"/>
        <v>After 5G</v>
      </c>
      <c r="C233">
        <v>411001</v>
      </c>
      <c r="D233" t="str">
        <f t="shared" si="7"/>
        <v>Pune</v>
      </c>
      <c r="E233" t="s">
        <v>18</v>
      </c>
      <c r="F233">
        <v>4.16</v>
      </c>
    </row>
    <row r="234" spans="1:6">
      <c r="A234" s="1">
        <v>44805</v>
      </c>
      <c r="B234" s="1" t="str">
        <f t="shared" si="6"/>
        <v>After 5G</v>
      </c>
      <c r="C234">
        <v>380001</v>
      </c>
      <c r="D234" t="str">
        <f t="shared" si="7"/>
        <v>Ahmedabad</v>
      </c>
      <c r="E234" t="s">
        <v>18</v>
      </c>
      <c r="F234">
        <v>2.08</v>
      </c>
    </row>
    <row r="235" spans="1:6">
      <c r="A235" s="1">
        <v>44805</v>
      </c>
      <c r="B235" s="1" t="str">
        <f t="shared" si="6"/>
        <v>After 5G</v>
      </c>
      <c r="C235">
        <v>302001</v>
      </c>
      <c r="D235" t="str">
        <f t="shared" si="7"/>
        <v>Jaipur</v>
      </c>
      <c r="E235" t="s">
        <v>18</v>
      </c>
      <c r="F235">
        <v>1.48</v>
      </c>
    </row>
    <row r="236" spans="1:6">
      <c r="A236" s="1">
        <v>44805</v>
      </c>
      <c r="B236" s="1" t="str">
        <f t="shared" si="6"/>
        <v>After 5G</v>
      </c>
      <c r="C236">
        <v>226001</v>
      </c>
      <c r="D236" t="str">
        <f t="shared" si="7"/>
        <v>Lucknow</v>
      </c>
      <c r="E236" t="s">
        <v>18</v>
      </c>
      <c r="F236">
        <v>1.31</v>
      </c>
    </row>
    <row r="237" spans="1:6">
      <c r="A237" s="1">
        <v>44805</v>
      </c>
      <c r="B237" s="1" t="str">
        <f t="shared" si="6"/>
        <v>After 5G</v>
      </c>
      <c r="C237">
        <v>800008</v>
      </c>
      <c r="D237" t="str">
        <f t="shared" si="7"/>
        <v>Patna</v>
      </c>
      <c r="E237" t="s">
        <v>18</v>
      </c>
      <c r="F237">
        <v>1.07</v>
      </c>
    </row>
    <row r="238" spans="1:6">
      <c r="A238" s="1">
        <v>44805</v>
      </c>
      <c r="B238" s="1" t="str">
        <f t="shared" si="6"/>
        <v>After 5G</v>
      </c>
      <c r="C238">
        <v>641001</v>
      </c>
      <c r="D238" t="str">
        <f t="shared" si="7"/>
        <v>Coimbatore</v>
      </c>
      <c r="E238" t="s">
        <v>18</v>
      </c>
      <c r="F238">
        <v>0.78</v>
      </c>
    </row>
    <row r="239" spans="1:6">
      <c r="A239" s="1">
        <v>44805</v>
      </c>
      <c r="B239" s="1" t="str">
        <f t="shared" si="6"/>
        <v>After 5G</v>
      </c>
      <c r="C239">
        <v>160017</v>
      </c>
      <c r="D239" t="str">
        <f t="shared" si="7"/>
        <v>Chandigarh</v>
      </c>
      <c r="E239" t="s">
        <v>18</v>
      </c>
      <c r="F239">
        <v>0.89</v>
      </c>
    </row>
    <row r="240" spans="1:6">
      <c r="A240" s="1">
        <v>44805</v>
      </c>
      <c r="B240" s="1" t="str">
        <f t="shared" si="6"/>
        <v>After 5G</v>
      </c>
      <c r="C240">
        <v>122001</v>
      </c>
      <c r="D240" t="str">
        <f t="shared" si="7"/>
        <v>Gurgaon</v>
      </c>
      <c r="E240" t="s">
        <v>18</v>
      </c>
      <c r="F240">
        <v>0.54</v>
      </c>
    </row>
    <row r="241" spans="1:6">
      <c r="A241" s="1">
        <v>44805</v>
      </c>
      <c r="B241" s="1" t="str">
        <f t="shared" si="6"/>
        <v>After 5G</v>
      </c>
      <c r="C241">
        <v>492001</v>
      </c>
      <c r="D241" t="str">
        <f t="shared" si="7"/>
        <v>Raipur</v>
      </c>
      <c r="E241" t="s">
        <v>18</v>
      </c>
      <c r="F241">
        <v>0.41</v>
      </c>
    </row>
    <row r="242" spans="1:6">
      <c r="A242" s="1">
        <v>44562</v>
      </c>
      <c r="B242" s="1" t="str">
        <f t="shared" si="6"/>
        <v>Before 5G</v>
      </c>
      <c r="C242">
        <v>400001</v>
      </c>
      <c r="D242" t="str">
        <f t="shared" si="7"/>
        <v>Mumbai</v>
      </c>
      <c r="E242" t="s">
        <v>20</v>
      </c>
      <c r="F242">
        <v>4.17</v>
      </c>
    </row>
    <row r="243" spans="1:6">
      <c r="A243" s="1">
        <v>44562</v>
      </c>
      <c r="B243" s="1" t="str">
        <f t="shared" si="6"/>
        <v>Before 5G</v>
      </c>
      <c r="C243">
        <v>110001</v>
      </c>
      <c r="D243" t="str">
        <f t="shared" si="7"/>
        <v>Delhi</v>
      </c>
      <c r="E243" t="s">
        <v>20</v>
      </c>
      <c r="F243">
        <v>4.01</v>
      </c>
    </row>
    <row r="244" spans="1:6">
      <c r="A244" s="1">
        <v>44562</v>
      </c>
      <c r="B244" s="1" t="str">
        <f t="shared" si="6"/>
        <v>Before 5G</v>
      </c>
      <c r="C244">
        <v>700001</v>
      </c>
      <c r="D244" t="str">
        <f t="shared" si="7"/>
        <v>Kolkata</v>
      </c>
      <c r="E244" t="s">
        <v>20</v>
      </c>
      <c r="F244">
        <v>3.88</v>
      </c>
    </row>
    <row r="245" spans="1:6">
      <c r="A245" s="1">
        <v>44562</v>
      </c>
      <c r="B245" s="1" t="str">
        <f t="shared" si="6"/>
        <v>Before 5G</v>
      </c>
      <c r="C245">
        <v>560001</v>
      </c>
      <c r="D245" t="str">
        <f t="shared" si="7"/>
        <v>Bangalore</v>
      </c>
      <c r="E245" t="s">
        <v>20</v>
      </c>
      <c r="F245">
        <v>3.01</v>
      </c>
    </row>
    <row r="246" spans="1:6">
      <c r="A246" s="1">
        <v>44562</v>
      </c>
      <c r="B246" s="1" t="str">
        <f t="shared" si="6"/>
        <v>Before 5G</v>
      </c>
      <c r="C246">
        <v>600001</v>
      </c>
      <c r="D246" t="str">
        <f t="shared" si="7"/>
        <v>Chennai</v>
      </c>
      <c r="E246" t="s">
        <v>20</v>
      </c>
      <c r="F246">
        <v>2.5299999999999998</v>
      </c>
    </row>
    <row r="247" spans="1:6">
      <c r="A247" s="1">
        <v>44562</v>
      </c>
      <c r="B247" s="1" t="str">
        <f t="shared" si="6"/>
        <v>Before 5G</v>
      </c>
      <c r="C247">
        <v>500001</v>
      </c>
      <c r="D247" t="str">
        <f t="shared" si="7"/>
        <v>Hyderabad</v>
      </c>
      <c r="E247" t="s">
        <v>20</v>
      </c>
      <c r="F247">
        <v>2.09</v>
      </c>
    </row>
    <row r="248" spans="1:6">
      <c r="A248" s="1">
        <v>44562</v>
      </c>
      <c r="B248" s="1" t="str">
        <f t="shared" si="6"/>
        <v>Before 5G</v>
      </c>
      <c r="C248">
        <v>411001</v>
      </c>
      <c r="D248" t="str">
        <f t="shared" si="7"/>
        <v>Pune</v>
      </c>
      <c r="E248" t="s">
        <v>20</v>
      </c>
      <c r="F248">
        <v>2.0499999999999998</v>
      </c>
    </row>
    <row r="249" spans="1:6">
      <c r="A249" s="1">
        <v>44562</v>
      </c>
      <c r="B249" s="1" t="str">
        <f t="shared" si="6"/>
        <v>Before 5G</v>
      </c>
      <c r="C249">
        <v>380001</v>
      </c>
      <c r="D249" t="str">
        <f t="shared" si="7"/>
        <v>Ahmedabad</v>
      </c>
      <c r="E249" t="s">
        <v>20</v>
      </c>
      <c r="F249">
        <v>1.79</v>
      </c>
    </row>
    <row r="250" spans="1:6">
      <c r="A250" s="1">
        <v>44562</v>
      </c>
      <c r="B250" s="1" t="str">
        <f t="shared" si="6"/>
        <v>Before 5G</v>
      </c>
      <c r="C250">
        <v>302001</v>
      </c>
      <c r="D250" t="str">
        <f t="shared" si="7"/>
        <v>Jaipur</v>
      </c>
      <c r="E250" t="s">
        <v>20</v>
      </c>
      <c r="F250">
        <v>1.64</v>
      </c>
    </row>
    <row r="251" spans="1:6">
      <c r="A251" s="1">
        <v>44562</v>
      </c>
      <c r="B251" s="1" t="str">
        <f t="shared" si="6"/>
        <v>Before 5G</v>
      </c>
      <c r="C251">
        <v>226001</v>
      </c>
      <c r="D251" t="str">
        <f t="shared" si="7"/>
        <v>Lucknow</v>
      </c>
      <c r="E251" t="s">
        <v>20</v>
      </c>
      <c r="F251">
        <v>1.18</v>
      </c>
    </row>
    <row r="252" spans="1:6">
      <c r="A252" s="1">
        <v>44562</v>
      </c>
      <c r="B252" s="1" t="str">
        <f t="shared" si="6"/>
        <v>Before 5G</v>
      </c>
      <c r="C252">
        <v>800008</v>
      </c>
      <c r="D252" t="str">
        <f t="shared" si="7"/>
        <v>Patna</v>
      </c>
      <c r="E252" t="s">
        <v>20</v>
      </c>
      <c r="F252">
        <v>1.53</v>
      </c>
    </row>
    <row r="253" spans="1:6">
      <c r="A253" s="1">
        <v>44562</v>
      </c>
      <c r="B253" s="1" t="str">
        <f t="shared" si="6"/>
        <v>Before 5G</v>
      </c>
      <c r="C253">
        <v>641001</v>
      </c>
      <c r="D253" t="str">
        <f t="shared" si="7"/>
        <v>Coimbatore</v>
      </c>
      <c r="E253" t="s">
        <v>20</v>
      </c>
      <c r="F253">
        <v>0.49</v>
      </c>
    </row>
    <row r="254" spans="1:6">
      <c r="A254" s="1">
        <v>44562</v>
      </c>
      <c r="B254" s="1" t="str">
        <f t="shared" si="6"/>
        <v>Before 5G</v>
      </c>
      <c r="C254">
        <v>160017</v>
      </c>
      <c r="D254" t="str">
        <f t="shared" si="7"/>
        <v>Chandigarh</v>
      </c>
      <c r="E254" t="s">
        <v>20</v>
      </c>
      <c r="F254">
        <v>0.53</v>
      </c>
    </row>
    <row r="255" spans="1:6">
      <c r="A255" s="1">
        <v>44562</v>
      </c>
      <c r="B255" s="1" t="str">
        <f t="shared" si="6"/>
        <v>Before 5G</v>
      </c>
      <c r="C255">
        <v>122001</v>
      </c>
      <c r="D255" t="str">
        <f t="shared" si="7"/>
        <v>Gurgaon</v>
      </c>
      <c r="E255" t="s">
        <v>20</v>
      </c>
      <c r="F255">
        <v>0.45</v>
      </c>
    </row>
    <row r="256" spans="1:6">
      <c r="A256" s="1">
        <v>44562</v>
      </c>
      <c r="B256" s="1" t="str">
        <f t="shared" si="6"/>
        <v>Before 5G</v>
      </c>
      <c r="C256">
        <v>492001</v>
      </c>
      <c r="D256" t="str">
        <f t="shared" si="7"/>
        <v>Raipur</v>
      </c>
      <c r="E256" t="s">
        <v>20</v>
      </c>
      <c r="F256">
        <v>0.28999999999999998</v>
      </c>
    </row>
    <row r="257" spans="1:6">
      <c r="A257" s="1">
        <v>44593</v>
      </c>
      <c r="B257" s="1" t="str">
        <f t="shared" si="6"/>
        <v>Before 5G</v>
      </c>
      <c r="C257">
        <v>400001</v>
      </c>
      <c r="D257" t="str">
        <f t="shared" si="7"/>
        <v>Mumbai</v>
      </c>
      <c r="E257" t="s">
        <v>20</v>
      </c>
      <c r="F257">
        <v>4.63</v>
      </c>
    </row>
    <row r="258" spans="1:6">
      <c r="A258" s="1">
        <v>44593</v>
      </c>
      <c r="B258" s="1" t="str">
        <f t="shared" si="6"/>
        <v>Before 5G</v>
      </c>
      <c r="C258">
        <v>110001</v>
      </c>
      <c r="D258" t="str">
        <f t="shared" si="7"/>
        <v>Delhi</v>
      </c>
      <c r="E258" t="s">
        <v>20</v>
      </c>
      <c r="F258">
        <v>3.62</v>
      </c>
    </row>
    <row r="259" spans="1:6">
      <c r="A259" s="1">
        <v>44593</v>
      </c>
      <c r="B259" s="1" t="str">
        <f t="shared" ref="B259:B322" si="8">VLOOKUP(A259,$H$2:$K$9,3,FALSE)</f>
        <v>Before 5G</v>
      </c>
      <c r="C259">
        <v>700001</v>
      </c>
      <c r="D259" t="str">
        <f t="shared" ref="D259:D322" si="9">VLOOKUP(C259,$M$2:$N$16,2,FALSE)</f>
        <v>Kolkata</v>
      </c>
      <c r="E259" t="s">
        <v>20</v>
      </c>
      <c r="F259">
        <v>3.37</v>
      </c>
    </row>
    <row r="260" spans="1:6">
      <c r="A260" s="1">
        <v>44593</v>
      </c>
      <c r="B260" s="1" t="str">
        <f t="shared" si="8"/>
        <v>Before 5G</v>
      </c>
      <c r="C260">
        <v>560001</v>
      </c>
      <c r="D260" t="str">
        <f t="shared" si="9"/>
        <v>Bangalore</v>
      </c>
      <c r="E260" t="s">
        <v>20</v>
      </c>
      <c r="F260">
        <v>3.88</v>
      </c>
    </row>
    <row r="261" spans="1:6">
      <c r="A261" s="1">
        <v>44593</v>
      </c>
      <c r="B261" s="1" t="str">
        <f t="shared" si="8"/>
        <v>Before 5G</v>
      </c>
      <c r="C261">
        <v>600001</v>
      </c>
      <c r="D261" t="str">
        <f t="shared" si="9"/>
        <v>Chennai</v>
      </c>
      <c r="E261" t="s">
        <v>20</v>
      </c>
      <c r="F261">
        <v>5.0999999999999996</v>
      </c>
    </row>
    <row r="262" spans="1:6">
      <c r="A262" s="1">
        <v>44593</v>
      </c>
      <c r="B262" s="1" t="str">
        <f t="shared" si="8"/>
        <v>Before 5G</v>
      </c>
      <c r="C262">
        <v>500001</v>
      </c>
      <c r="D262" t="str">
        <f t="shared" si="9"/>
        <v>Hyderabad</v>
      </c>
      <c r="E262" t="s">
        <v>20</v>
      </c>
      <c r="F262">
        <v>3.01</v>
      </c>
    </row>
    <row r="263" spans="1:6">
      <c r="A263" s="1">
        <v>44593</v>
      </c>
      <c r="B263" s="1" t="str">
        <f t="shared" si="8"/>
        <v>Before 5G</v>
      </c>
      <c r="C263">
        <v>411001</v>
      </c>
      <c r="D263" t="str">
        <f t="shared" si="9"/>
        <v>Pune</v>
      </c>
      <c r="E263" t="s">
        <v>20</v>
      </c>
      <c r="F263">
        <v>2.75</v>
      </c>
    </row>
    <row r="264" spans="1:6">
      <c r="A264" s="1">
        <v>44593</v>
      </c>
      <c r="B264" s="1" t="str">
        <f t="shared" si="8"/>
        <v>Before 5G</v>
      </c>
      <c r="C264">
        <v>380001</v>
      </c>
      <c r="D264" t="str">
        <f t="shared" si="9"/>
        <v>Ahmedabad</v>
      </c>
      <c r="E264" t="s">
        <v>20</v>
      </c>
      <c r="F264">
        <v>1.62</v>
      </c>
    </row>
    <row r="265" spans="1:6">
      <c r="A265" s="1">
        <v>44593</v>
      </c>
      <c r="B265" s="1" t="str">
        <f t="shared" si="8"/>
        <v>Before 5G</v>
      </c>
      <c r="C265">
        <v>302001</v>
      </c>
      <c r="D265" t="str">
        <f t="shared" si="9"/>
        <v>Jaipur</v>
      </c>
      <c r="E265" t="s">
        <v>20</v>
      </c>
      <c r="F265">
        <v>0.95</v>
      </c>
    </row>
    <row r="266" spans="1:6">
      <c r="A266" s="1">
        <v>44593</v>
      </c>
      <c r="B266" s="1" t="str">
        <f t="shared" si="8"/>
        <v>Before 5G</v>
      </c>
      <c r="C266">
        <v>226001</v>
      </c>
      <c r="D266" t="str">
        <f t="shared" si="9"/>
        <v>Lucknow</v>
      </c>
      <c r="E266" t="s">
        <v>20</v>
      </c>
      <c r="F266">
        <v>2.33</v>
      </c>
    </row>
    <row r="267" spans="1:6">
      <c r="A267" s="1">
        <v>44593</v>
      </c>
      <c r="B267" s="1" t="str">
        <f t="shared" si="8"/>
        <v>Before 5G</v>
      </c>
      <c r="C267">
        <v>800008</v>
      </c>
      <c r="D267" t="str">
        <f t="shared" si="9"/>
        <v>Patna</v>
      </c>
      <c r="E267" t="s">
        <v>20</v>
      </c>
      <c r="F267">
        <v>1.02</v>
      </c>
    </row>
    <row r="268" spans="1:6">
      <c r="A268" s="1">
        <v>44593</v>
      </c>
      <c r="B268" s="1" t="str">
        <f t="shared" si="8"/>
        <v>Before 5G</v>
      </c>
      <c r="C268">
        <v>641001</v>
      </c>
      <c r="D268" t="str">
        <f t="shared" si="9"/>
        <v>Coimbatore</v>
      </c>
      <c r="E268" t="s">
        <v>20</v>
      </c>
      <c r="F268">
        <v>1.1100000000000001</v>
      </c>
    </row>
    <row r="269" spans="1:6">
      <c r="A269" s="1">
        <v>44593</v>
      </c>
      <c r="B269" s="1" t="str">
        <f t="shared" si="8"/>
        <v>Before 5G</v>
      </c>
      <c r="C269">
        <v>160017</v>
      </c>
      <c r="D269" t="str">
        <f t="shared" si="9"/>
        <v>Chandigarh</v>
      </c>
      <c r="E269" t="s">
        <v>20</v>
      </c>
      <c r="F269">
        <v>0.51</v>
      </c>
    </row>
    <row r="270" spans="1:6">
      <c r="A270" s="1">
        <v>44593</v>
      </c>
      <c r="B270" s="1" t="str">
        <f t="shared" si="8"/>
        <v>Before 5G</v>
      </c>
      <c r="C270">
        <v>122001</v>
      </c>
      <c r="D270" t="str">
        <f t="shared" si="9"/>
        <v>Gurgaon</v>
      </c>
      <c r="E270" t="s">
        <v>20</v>
      </c>
      <c r="F270">
        <v>0.66</v>
      </c>
    </row>
    <row r="271" spans="1:6">
      <c r="A271" s="1">
        <v>44593</v>
      </c>
      <c r="B271" s="1" t="str">
        <f t="shared" si="8"/>
        <v>Before 5G</v>
      </c>
      <c r="C271">
        <v>492001</v>
      </c>
      <c r="D271" t="str">
        <f t="shared" si="9"/>
        <v>Raipur</v>
      </c>
      <c r="E271" t="s">
        <v>20</v>
      </c>
      <c r="F271">
        <v>0.34</v>
      </c>
    </row>
    <row r="272" spans="1:6">
      <c r="A272" s="1">
        <v>44621</v>
      </c>
      <c r="B272" s="1" t="str">
        <f t="shared" si="8"/>
        <v>Before 5G</v>
      </c>
      <c r="C272">
        <v>400001</v>
      </c>
      <c r="D272" t="str">
        <f t="shared" si="9"/>
        <v>Mumbai</v>
      </c>
      <c r="E272" t="s">
        <v>20</v>
      </c>
      <c r="F272">
        <v>4.5599999999999996</v>
      </c>
    </row>
    <row r="273" spans="1:6">
      <c r="A273" s="1">
        <v>44621</v>
      </c>
      <c r="B273" s="1" t="str">
        <f t="shared" si="8"/>
        <v>Before 5G</v>
      </c>
      <c r="C273">
        <v>110001</v>
      </c>
      <c r="D273" t="str">
        <f t="shared" si="9"/>
        <v>Delhi</v>
      </c>
      <c r="E273" t="s">
        <v>20</v>
      </c>
      <c r="F273">
        <v>3.9</v>
      </c>
    </row>
    <row r="274" spans="1:6">
      <c r="A274" s="1">
        <v>44621</v>
      </c>
      <c r="B274" s="1" t="str">
        <f t="shared" si="8"/>
        <v>Before 5G</v>
      </c>
      <c r="C274">
        <v>700001</v>
      </c>
      <c r="D274" t="str">
        <f t="shared" si="9"/>
        <v>Kolkata</v>
      </c>
      <c r="E274" t="s">
        <v>20</v>
      </c>
      <c r="F274">
        <v>5.99</v>
      </c>
    </row>
    <row r="275" spans="1:6">
      <c r="A275" s="1">
        <v>44621</v>
      </c>
      <c r="B275" s="1" t="str">
        <f t="shared" si="8"/>
        <v>Before 5G</v>
      </c>
      <c r="C275">
        <v>560001</v>
      </c>
      <c r="D275" t="str">
        <f t="shared" si="9"/>
        <v>Bangalore</v>
      </c>
      <c r="E275" t="s">
        <v>20</v>
      </c>
      <c r="F275">
        <v>3.88</v>
      </c>
    </row>
    <row r="276" spans="1:6">
      <c r="A276" s="1">
        <v>44621</v>
      </c>
      <c r="B276" s="1" t="str">
        <f t="shared" si="8"/>
        <v>Before 5G</v>
      </c>
      <c r="C276">
        <v>600001</v>
      </c>
      <c r="D276" t="str">
        <f t="shared" si="9"/>
        <v>Chennai</v>
      </c>
      <c r="E276" t="s">
        <v>20</v>
      </c>
      <c r="F276">
        <v>2.59</v>
      </c>
    </row>
    <row r="277" spans="1:6">
      <c r="A277" s="1">
        <v>44621</v>
      </c>
      <c r="B277" s="1" t="str">
        <f t="shared" si="8"/>
        <v>Before 5G</v>
      </c>
      <c r="C277">
        <v>500001</v>
      </c>
      <c r="D277" t="str">
        <f t="shared" si="9"/>
        <v>Hyderabad</v>
      </c>
      <c r="E277" t="s">
        <v>20</v>
      </c>
      <c r="F277">
        <v>2.41</v>
      </c>
    </row>
    <row r="278" spans="1:6">
      <c r="A278" s="1">
        <v>44621</v>
      </c>
      <c r="B278" s="1" t="str">
        <f t="shared" si="8"/>
        <v>Before 5G</v>
      </c>
      <c r="C278">
        <v>411001</v>
      </c>
      <c r="D278" t="str">
        <f t="shared" si="9"/>
        <v>Pune</v>
      </c>
      <c r="E278" t="s">
        <v>20</v>
      </c>
      <c r="F278">
        <v>2.64</v>
      </c>
    </row>
    <row r="279" spans="1:6">
      <c r="A279" s="1">
        <v>44621</v>
      </c>
      <c r="B279" s="1" t="str">
        <f t="shared" si="8"/>
        <v>Before 5G</v>
      </c>
      <c r="C279">
        <v>380001</v>
      </c>
      <c r="D279" t="str">
        <f t="shared" si="9"/>
        <v>Ahmedabad</v>
      </c>
      <c r="E279" t="s">
        <v>20</v>
      </c>
      <c r="F279">
        <v>2.8</v>
      </c>
    </row>
    <row r="280" spans="1:6">
      <c r="A280" s="1">
        <v>44621</v>
      </c>
      <c r="B280" s="1" t="str">
        <f t="shared" si="8"/>
        <v>Before 5G</v>
      </c>
      <c r="C280">
        <v>302001</v>
      </c>
      <c r="D280" t="str">
        <f t="shared" si="9"/>
        <v>Jaipur</v>
      </c>
      <c r="E280" t="s">
        <v>20</v>
      </c>
      <c r="F280">
        <v>1.46</v>
      </c>
    </row>
    <row r="281" spans="1:6">
      <c r="A281" s="1">
        <v>44621</v>
      </c>
      <c r="B281" s="1" t="str">
        <f t="shared" si="8"/>
        <v>Before 5G</v>
      </c>
      <c r="C281">
        <v>226001</v>
      </c>
      <c r="D281" t="str">
        <f t="shared" si="9"/>
        <v>Lucknow</v>
      </c>
      <c r="E281" t="s">
        <v>20</v>
      </c>
      <c r="F281">
        <v>1.23</v>
      </c>
    </row>
    <row r="282" spans="1:6">
      <c r="A282" s="1">
        <v>44621</v>
      </c>
      <c r="B282" s="1" t="str">
        <f t="shared" si="8"/>
        <v>Before 5G</v>
      </c>
      <c r="C282">
        <v>800008</v>
      </c>
      <c r="D282" t="str">
        <f t="shared" si="9"/>
        <v>Patna</v>
      </c>
      <c r="E282" t="s">
        <v>20</v>
      </c>
      <c r="F282">
        <v>0.78</v>
      </c>
    </row>
    <row r="283" spans="1:6">
      <c r="A283" s="1">
        <v>44621</v>
      </c>
      <c r="B283" s="1" t="str">
        <f t="shared" si="8"/>
        <v>Before 5G</v>
      </c>
      <c r="C283">
        <v>641001</v>
      </c>
      <c r="D283" t="str">
        <f t="shared" si="9"/>
        <v>Coimbatore</v>
      </c>
      <c r="E283" t="s">
        <v>20</v>
      </c>
      <c r="F283">
        <v>1.61</v>
      </c>
    </row>
    <row r="284" spans="1:6">
      <c r="A284" s="1">
        <v>44621</v>
      </c>
      <c r="B284" s="1" t="str">
        <f t="shared" si="8"/>
        <v>Before 5G</v>
      </c>
      <c r="C284">
        <v>160017</v>
      </c>
      <c r="D284" t="str">
        <f t="shared" si="9"/>
        <v>Chandigarh</v>
      </c>
      <c r="E284" t="s">
        <v>20</v>
      </c>
      <c r="F284">
        <v>0.65</v>
      </c>
    </row>
    <row r="285" spans="1:6">
      <c r="A285" s="1">
        <v>44621</v>
      </c>
      <c r="B285" s="1" t="str">
        <f t="shared" si="8"/>
        <v>Before 5G</v>
      </c>
      <c r="C285">
        <v>122001</v>
      </c>
      <c r="D285" t="str">
        <f t="shared" si="9"/>
        <v>Gurgaon</v>
      </c>
      <c r="E285" t="s">
        <v>20</v>
      </c>
      <c r="F285">
        <v>0.53</v>
      </c>
    </row>
    <row r="286" spans="1:6">
      <c r="A286" s="1">
        <v>44621</v>
      </c>
      <c r="B286" s="1" t="str">
        <f t="shared" si="8"/>
        <v>Before 5G</v>
      </c>
      <c r="C286">
        <v>492001</v>
      </c>
      <c r="D286" t="str">
        <f t="shared" si="9"/>
        <v>Raipur</v>
      </c>
      <c r="E286" t="s">
        <v>20</v>
      </c>
      <c r="F286">
        <v>0.28999999999999998</v>
      </c>
    </row>
    <row r="287" spans="1:6">
      <c r="A287" s="1">
        <v>44652</v>
      </c>
      <c r="B287" s="1" t="str">
        <f t="shared" si="8"/>
        <v>Before 5G</v>
      </c>
      <c r="C287">
        <v>400001</v>
      </c>
      <c r="D287" t="str">
        <f t="shared" si="9"/>
        <v>Mumbai</v>
      </c>
      <c r="E287" t="s">
        <v>20</v>
      </c>
      <c r="F287">
        <v>3.73</v>
      </c>
    </row>
    <row r="288" spans="1:6">
      <c r="A288" s="1">
        <v>44652</v>
      </c>
      <c r="B288" s="1" t="str">
        <f t="shared" si="8"/>
        <v>Before 5G</v>
      </c>
      <c r="C288">
        <v>110001</v>
      </c>
      <c r="D288" t="str">
        <f t="shared" si="9"/>
        <v>Delhi</v>
      </c>
      <c r="E288" t="s">
        <v>20</v>
      </c>
      <c r="F288">
        <v>3.15</v>
      </c>
    </row>
    <row r="289" spans="1:6">
      <c r="A289" s="1">
        <v>44652</v>
      </c>
      <c r="B289" s="1" t="str">
        <f t="shared" si="8"/>
        <v>Before 5G</v>
      </c>
      <c r="C289">
        <v>700001</v>
      </c>
      <c r="D289" t="str">
        <f t="shared" si="9"/>
        <v>Kolkata</v>
      </c>
      <c r="E289" t="s">
        <v>20</v>
      </c>
      <c r="F289">
        <v>3.34</v>
      </c>
    </row>
    <row r="290" spans="1:6">
      <c r="A290" s="1">
        <v>44652</v>
      </c>
      <c r="B290" s="1" t="str">
        <f t="shared" si="8"/>
        <v>Before 5G</v>
      </c>
      <c r="C290">
        <v>560001</v>
      </c>
      <c r="D290" t="str">
        <f t="shared" si="9"/>
        <v>Bangalore</v>
      </c>
      <c r="E290" t="s">
        <v>20</v>
      </c>
      <c r="F290">
        <v>3.62</v>
      </c>
    </row>
    <row r="291" spans="1:6">
      <c r="A291" s="1">
        <v>44652</v>
      </c>
      <c r="B291" s="1" t="str">
        <f t="shared" si="8"/>
        <v>Before 5G</v>
      </c>
      <c r="C291">
        <v>600001</v>
      </c>
      <c r="D291" t="str">
        <f t="shared" si="9"/>
        <v>Chennai</v>
      </c>
      <c r="E291" t="s">
        <v>20</v>
      </c>
      <c r="F291">
        <v>3.31</v>
      </c>
    </row>
    <row r="292" spans="1:6">
      <c r="A292" s="1">
        <v>44652</v>
      </c>
      <c r="B292" s="1" t="str">
        <f t="shared" si="8"/>
        <v>Before 5G</v>
      </c>
      <c r="C292">
        <v>500001</v>
      </c>
      <c r="D292" t="str">
        <f t="shared" si="9"/>
        <v>Hyderabad</v>
      </c>
      <c r="E292" t="s">
        <v>20</v>
      </c>
      <c r="F292">
        <v>2.06</v>
      </c>
    </row>
    <row r="293" spans="1:6">
      <c r="A293" s="1">
        <v>44652</v>
      </c>
      <c r="B293" s="1" t="str">
        <f t="shared" si="8"/>
        <v>Before 5G</v>
      </c>
      <c r="C293">
        <v>411001</v>
      </c>
      <c r="D293" t="str">
        <f t="shared" si="9"/>
        <v>Pune</v>
      </c>
      <c r="E293" t="s">
        <v>20</v>
      </c>
      <c r="F293">
        <v>4.22</v>
      </c>
    </row>
    <row r="294" spans="1:6">
      <c r="A294" s="1">
        <v>44652</v>
      </c>
      <c r="B294" s="1" t="str">
        <f t="shared" si="8"/>
        <v>Before 5G</v>
      </c>
      <c r="C294">
        <v>380001</v>
      </c>
      <c r="D294" t="str">
        <f t="shared" si="9"/>
        <v>Ahmedabad</v>
      </c>
      <c r="E294" t="s">
        <v>20</v>
      </c>
      <c r="F294">
        <v>2.48</v>
      </c>
    </row>
    <row r="295" spans="1:6">
      <c r="A295" s="1">
        <v>44652</v>
      </c>
      <c r="B295" s="1" t="str">
        <f t="shared" si="8"/>
        <v>Before 5G</v>
      </c>
      <c r="C295">
        <v>302001</v>
      </c>
      <c r="D295" t="str">
        <f t="shared" si="9"/>
        <v>Jaipur</v>
      </c>
      <c r="E295" t="s">
        <v>20</v>
      </c>
      <c r="F295">
        <v>1.22</v>
      </c>
    </row>
    <row r="296" spans="1:6">
      <c r="A296" s="1">
        <v>44652</v>
      </c>
      <c r="B296" s="1" t="str">
        <f t="shared" si="8"/>
        <v>Before 5G</v>
      </c>
      <c r="C296">
        <v>226001</v>
      </c>
      <c r="D296" t="str">
        <f t="shared" si="9"/>
        <v>Lucknow</v>
      </c>
      <c r="E296" t="s">
        <v>20</v>
      </c>
      <c r="F296">
        <v>1.3</v>
      </c>
    </row>
    <row r="297" spans="1:6">
      <c r="A297" s="1">
        <v>44652</v>
      </c>
      <c r="B297" s="1" t="str">
        <f t="shared" si="8"/>
        <v>Before 5G</v>
      </c>
      <c r="C297">
        <v>800008</v>
      </c>
      <c r="D297" t="str">
        <f t="shared" si="9"/>
        <v>Patna</v>
      </c>
      <c r="E297" t="s">
        <v>20</v>
      </c>
      <c r="F297">
        <v>1.0900000000000001</v>
      </c>
    </row>
    <row r="298" spans="1:6">
      <c r="A298" s="1">
        <v>44652</v>
      </c>
      <c r="B298" s="1" t="str">
        <f t="shared" si="8"/>
        <v>Before 5G</v>
      </c>
      <c r="C298">
        <v>641001</v>
      </c>
      <c r="D298" t="str">
        <f t="shared" si="9"/>
        <v>Coimbatore</v>
      </c>
      <c r="E298" t="s">
        <v>20</v>
      </c>
      <c r="F298">
        <v>0.76</v>
      </c>
    </row>
    <row r="299" spans="1:6">
      <c r="A299" s="1">
        <v>44652</v>
      </c>
      <c r="B299" s="1" t="str">
        <f t="shared" si="8"/>
        <v>Before 5G</v>
      </c>
      <c r="C299">
        <v>160017</v>
      </c>
      <c r="D299" t="str">
        <f t="shared" si="9"/>
        <v>Chandigarh</v>
      </c>
      <c r="E299" t="s">
        <v>20</v>
      </c>
      <c r="F299">
        <v>0.94</v>
      </c>
    </row>
    <row r="300" spans="1:6">
      <c r="A300" s="1">
        <v>44652</v>
      </c>
      <c r="B300" s="1" t="str">
        <f t="shared" si="8"/>
        <v>Before 5G</v>
      </c>
      <c r="C300">
        <v>122001</v>
      </c>
      <c r="D300" t="str">
        <f t="shared" si="9"/>
        <v>Gurgaon</v>
      </c>
      <c r="E300" t="s">
        <v>20</v>
      </c>
      <c r="F300">
        <v>0.45</v>
      </c>
    </row>
    <row r="301" spans="1:6">
      <c r="A301" s="1">
        <v>44652</v>
      </c>
      <c r="B301" s="1" t="str">
        <f t="shared" si="8"/>
        <v>Before 5G</v>
      </c>
      <c r="C301">
        <v>492001</v>
      </c>
      <c r="D301" t="str">
        <f t="shared" si="9"/>
        <v>Raipur</v>
      </c>
      <c r="E301" t="s">
        <v>20</v>
      </c>
      <c r="F301">
        <v>0.4</v>
      </c>
    </row>
    <row r="302" spans="1:6">
      <c r="A302" s="1">
        <v>44713</v>
      </c>
      <c r="B302" s="1" t="str">
        <f t="shared" si="8"/>
        <v>After 5G</v>
      </c>
      <c r="C302">
        <v>400001</v>
      </c>
      <c r="D302" t="str">
        <f t="shared" si="9"/>
        <v>Mumbai</v>
      </c>
      <c r="E302" t="s">
        <v>20</v>
      </c>
      <c r="F302">
        <v>5.95</v>
      </c>
    </row>
    <row r="303" spans="1:6">
      <c r="A303" s="1">
        <v>44713</v>
      </c>
      <c r="B303" s="1" t="str">
        <f t="shared" si="8"/>
        <v>After 5G</v>
      </c>
      <c r="C303">
        <v>110001</v>
      </c>
      <c r="D303" t="str">
        <f t="shared" si="9"/>
        <v>Delhi</v>
      </c>
      <c r="E303" t="s">
        <v>20</v>
      </c>
      <c r="F303">
        <v>3.53</v>
      </c>
    </row>
    <row r="304" spans="1:6">
      <c r="A304" s="1">
        <v>44713</v>
      </c>
      <c r="B304" s="1" t="str">
        <f t="shared" si="8"/>
        <v>After 5G</v>
      </c>
      <c r="C304">
        <v>700001</v>
      </c>
      <c r="D304" t="str">
        <f t="shared" si="9"/>
        <v>Kolkata</v>
      </c>
      <c r="E304" t="s">
        <v>20</v>
      </c>
      <c r="F304">
        <v>2.95</v>
      </c>
    </row>
    <row r="305" spans="1:6">
      <c r="A305" s="1">
        <v>44713</v>
      </c>
      <c r="B305" s="1" t="str">
        <f t="shared" si="8"/>
        <v>After 5G</v>
      </c>
      <c r="C305">
        <v>560001</v>
      </c>
      <c r="D305" t="str">
        <f t="shared" si="9"/>
        <v>Bangalore</v>
      </c>
      <c r="E305" t="s">
        <v>20</v>
      </c>
      <c r="F305">
        <v>3.37</v>
      </c>
    </row>
    <row r="306" spans="1:6">
      <c r="A306" s="1">
        <v>44713</v>
      </c>
      <c r="B306" s="1" t="str">
        <f t="shared" si="8"/>
        <v>After 5G</v>
      </c>
      <c r="C306">
        <v>600001</v>
      </c>
      <c r="D306" t="str">
        <f t="shared" si="9"/>
        <v>Chennai</v>
      </c>
      <c r="E306" t="s">
        <v>20</v>
      </c>
      <c r="F306">
        <v>3.04</v>
      </c>
    </row>
    <row r="307" spans="1:6">
      <c r="A307" s="1">
        <v>44713</v>
      </c>
      <c r="B307" s="1" t="str">
        <f t="shared" si="8"/>
        <v>After 5G</v>
      </c>
      <c r="C307">
        <v>500001</v>
      </c>
      <c r="D307" t="str">
        <f t="shared" si="9"/>
        <v>Hyderabad</v>
      </c>
      <c r="E307" t="s">
        <v>20</v>
      </c>
      <c r="F307">
        <v>2.5299999999999998</v>
      </c>
    </row>
    <row r="308" spans="1:6">
      <c r="A308" s="1">
        <v>44713</v>
      </c>
      <c r="B308" s="1" t="str">
        <f t="shared" si="8"/>
        <v>After 5G</v>
      </c>
      <c r="C308">
        <v>411001</v>
      </c>
      <c r="D308" t="str">
        <f t="shared" si="9"/>
        <v>Pune</v>
      </c>
      <c r="E308" t="s">
        <v>20</v>
      </c>
      <c r="F308">
        <v>1.71</v>
      </c>
    </row>
    <row r="309" spans="1:6">
      <c r="A309" s="1">
        <v>44713</v>
      </c>
      <c r="B309" s="1" t="str">
        <f t="shared" si="8"/>
        <v>After 5G</v>
      </c>
      <c r="C309">
        <v>380001</v>
      </c>
      <c r="D309" t="str">
        <f t="shared" si="9"/>
        <v>Ahmedabad</v>
      </c>
      <c r="E309" t="s">
        <v>20</v>
      </c>
      <c r="F309">
        <v>1.53</v>
      </c>
    </row>
    <row r="310" spans="1:6">
      <c r="A310" s="1">
        <v>44713</v>
      </c>
      <c r="B310" s="1" t="str">
        <f t="shared" si="8"/>
        <v>After 5G</v>
      </c>
      <c r="C310">
        <v>302001</v>
      </c>
      <c r="D310" t="str">
        <f t="shared" si="9"/>
        <v>Jaipur</v>
      </c>
      <c r="E310" t="s">
        <v>20</v>
      </c>
      <c r="F310">
        <v>1.71</v>
      </c>
    </row>
    <row r="311" spans="1:6">
      <c r="A311" s="1">
        <v>44713</v>
      </c>
      <c r="B311" s="1" t="str">
        <f t="shared" si="8"/>
        <v>After 5G</v>
      </c>
      <c r="C311">
        <v>226001</v>
      </c>
      <c r="D311" t="str">
        <f t="shared" si="9"/>
        <v>Lucknow</v>
      </c>
      <c r="E311" t="s">
        <v>20</v>
      </c>
      <c r="F311">
        <v>0.99</v>
      </c>
    </row>
    <row r="312" spans="1:6">
      <c r="A312" s="1">
        <v>44713</v>
      </c>
      <c r="B312" s="1" t="str">
        <f t="shared" si="8"/>
        <v>After 5G</v>
      </c>
      <c r="C312">
        <v>800008</v>
      </c>
      <c r="D312" t="str">
        <f t="shared" si="9"/>
        <v>Patna</v>
      </c>
      <c r="E312" t="s">
        <v>20</v>
      </c>
      <c r="F312">
        <v>1.24</v>
      </c>
    </row>
    <row r="313" spans="1:6">
      <c r="A313" s="1">
        <v>44713</v>
      </c>
      <c r="B313" s="1" t="str">
        <f t="shared" si="8"/>
        <v>After 5G</v>
      </c>
      <c r="C313">
        <v>641001</v>
      </c>
      <c r="D313" t="str">
        <f t="shared" si="9"/>
        <v>Coimbatore</v>
      </c>
      <c r="E313" t="s">
        <v>20</v>
      </c>
      <c r="F313">
        <v>0.5</v>
      </c>
    </row>
    <row r="314" spans="1:6">
      <c r="A314" s="1">
        <v>44713</v>
      </c>
      <c r="B314" s="1" t="str">
        <f t="shared" si="8"/>
        <v>After 5G</v>
      </c>
      <c r="C314">
        <v>160017</v>
      </c>
      <c r="D314" t="str">
        <f t="shared" si="9"/>
        <v>Chandigarh</v>
      </c>
      <c r="E314" t="s">
        <v>20</v>
      </c>
      <c r="F314">
        <v>0.5</v>
      </c>
    </row>
    <row r="315" spans="1:6">
      <c r="A315" s="1">
        <v>44713</v>
      </c>
      <c r="B315" s="1" t="str">
        <f t="shared" si="8"/>
        <v>After 5G</v>
      </c>
      <c r="C315">
        <v>122001</v>
      </c>
      <c r="D315" t="str">
        <f t="shared" si="9"/>
        <v>Gurgaon</v>
      </c>
      <c r="E315" t="s">
        <v>20</v>
      </c>
      <c r="F315">
        <v>0.45</v>
      </c>
    </row>
    <row r="316" spans="1:6">
      <c r="A316" s="1">
        <v>44713</v>
      </c>
      <c r="B316" s="1" t="str">
        <f t="shared" si="8"/>
        <v>After 5G</v>
      </c>
      <c r="C316">
        <v>492001</v>
      </c>
      <c r="D316" t="str">
        <f t="shared" si="9"/>
        <v>Raipur</v>
      </c>
      <c r="E316" t="s">
        <v>20</v>
      </c>
      <c r="F316">
        <v>0.41</v>
      </c>
    </row>
    <row r="317" spans="1:6">
      <c r="A317" s="1">
        <v>44743</v>
      </c>
      <c r="B317" s="1" t="str">
        <f t="shared" si="8"/>
        <v>After 5G</v>
      </c>
      <c r="C317">
        <v>400001</v>
      </c>
      <c r="D317" t="str">
        <f t="shared" si="9"/>
        <v>Mumbai</v>
      </c>
      <c r="E317" t="s">
        <v>20</v>
      </c>
      <c r="F317">
        <v>5.36</v>
      </c>
    </row>
    <row r="318" spans="1:6">
      <c r="A318" s="1">
        <v>44743</v>
      </c>
      <c r="B318" s="1" t="str">
        <f t="shared" si="8"/>
        <v>After 5G</v>
      </c>
      <c r="C318">
        <v>110001</v>
      </c>
      <c r="D318" t="str">
        <f t="shared" si="9"/>
        <v>Delhi</v>
      </c>
      <c r="E318" t="s">
        <v>20</v>
      </c>
      <c r="F318">
        <v>4.79</v>
      </c>
    </row>
    <row r="319" spans="1:6">
      <c r="A319" s="1">
        <v>44743</v>
      </c>
      <c r="B319" s="1" t="str">
        <f t="shared" si="8"/>
        <v>After 5G</v>
      </c>
      <c r="C319">
        <v>700001</v>
      </c>
      <c r="D319" t="str">
        <f t="shared" si="9"/>
        <v>Kolkata</v>
      </c>
      <c r="E319" t="s">
        <v>20</v>
      </c>
      <c r="F319">
        <v>2.86</v>
      </c>
    </row>
    <row r="320" spans="1:6">
      <c r="A320" s="1">
        <v>44743</v>
      </c>
      <c r="B320" s="1" t="str">
        <f t="shared" si="8"/>
        <v>After 5G</v>
      </c>
      <c r="C320">
        <v>560001</v>
      </c>
      <c r="D320" t="str">
        <f t="shared" si="9"/>
        <v>Bangalore</v>
      </c>
      <c r="E320" t="s">
        <v>20</v>
      </c>
      <c r="F320">
        <v>3.91</v>
      </c>
    </row>
    <row r="321" spans="1:6">
      <c r="A321" s="1">
        <v>44743</v>
      </c>
      <c r="B321" s="1" t="str">
        <f t="shared" si="8"/>
        <v>After 5G</v>
      </c>
      <c r="C321">
        <v>600001</v>
      </c>
      <c r="D321" t="str">
        <f t="shared" si="9"/>
        <v>Chennai</v>
      </c>
      <c r="E321" t="s">
        <v>20</v>
      </c>
      <c r="F321">
        <v>3.98</v>
      </c>
    </row>
    <row r="322" spans="1:6">
      <c r="A322" s="1">
        <v>44743</v>
      </c>
      <c r="B322" s="1" t="str">
        <f t="shared" si="8"/>
        <v>After 5G</v>
      </c>
      <c r="C322">
        <v>500001</v>
      </c>
      <c r="D322" t="str">
        <f t="shared" si="9"/>
        <v>Hyderabad</v>
      </c>
      <c r="E322" t="s">
        <v>20</v>
      </c>
      <c r="F322">
        <v>3.12</v>
      </c>
    </row>
    <row r="323" spans="1:6">
      <c r="A323" s="1">
        <v>44743</v>
      </c>
      <c r="B323" s="1" t="str">
        <f t="shared" ref="B323:B386" si="10">VLOOKUP(A323,$H$2:$K$9,3,FALSE)</f>
        <v>After 5G</v>
      </c>
      <c r="C323">
        <v>411001</v>
      </c>
      <c r="D323" t="str">
        <f t="shared" ref="D323:D386" si="11">VLOOKUP(C323,$M$2:$N$16,2,FALSE)</f>
        <v>Pune</v>
      </c>
      <c r="E323" t="s">
        <v>20</v>
      </c>
      <c r="F323">
        <v>2.14</v>
      </c>
    </row>
    <row r="324" spans="1:6">
      <c r="A324" s="1">
        <v>44743</v>
      </c>
      <c r="B324" s="1" t="str">
        <f t="shared" si="10"/>
        <v>After 5G</v>
      </c>
      <c r="C324">
        <v>380001</v>
      </c>
      <c r="D324" t="str">
        <f t="shared" si="11"/>
        <v>Ahmedabad</v>
      </c>
      <c r="E324" t="s">
        <v>20</v>
      </c>
      <c r="F324">
        <v>1.59</v>
      </c>
    </row>
    <row r="325" spans="1:6">
      <c r="A325" s="1">
        <v>44743</v>
      </c>
      <c r="B325" s="1" t="str">
        <f t="shared" si="10"/>
        <v>After 5G</v>
      </c>
      <c r="C325">
        <v>302001</v>
      </c>
      <c r="D325" t="str">
        <f t="shared" si="11"/>
        <v>Jaipur</v>
      </c>
      <c r="E325" t="s">
        <v>20</v>
      </c>
      <c r="F325">
        <v>1.05</v>
      </c>
    </row>
    <row r="326" spans="1:6">
      <c r="A326" s="1">
        <v>44743</v>
      </c>
      <c r="B326" s="1" t="str">
        <f t="shared" si="10"/>
        <v>After 5G</v>
      </c>
      <c r="C326">
        <v>226001</v>
      </c>
      <c r="D326" t="str">
        <f t="shared" si="11"/>
        <v>Lucknow</v>
      </c>
      <c r="E326" t="s">
        <v>20</v>
      </c>
      <c r="F326">
        <v>1.64</v>
      </c>
    </row>
    <row r="327" spans="1:6">
      <c r="A327" s="1">
        <v>44743</v>
      </c>
      <c r="B327" s="1" t="str">
        <f t="shared" si="10"/>
        <v>After 5G</v>
      </c>
      <c r="C327">
        <v>800008</v>
      </c>
      <c r="D327" t="str">
        <f t="shared" si="11"/>
        <v>Patna</v>
      </c>
      <c r="E327" t="s">
        <v>20</v>
      </c>
      <c r="F327">
        <v>0.8</v>
      </c>
    </row>
    <row r="328" spans="1:6">
      <c r="A328" s="1">
        <v>44743</v>
      </c>
      <c r="B328" s="1" t="str">
        <f t="shared" si="10"/>
        <v>After 5G</v>
      </c>
      <c r="C328">
        <v>641001</v>
      </c>
      <c r="D328" t="str">
        <f t="shared" si="11"/>
        <v>Coimbatore</v>
      </c>
      <c r="E328" t="s">
        <v>20</v>
      </c>
      <c r="F328">
        <v>1.07</v>
      </c>
    </row>
    <row r="329" spans="1:6">
      <c r="A329" s="1">
        <v>44743</v>
      </c>
      <c r="B329" s="1" t="str">
        <f t="shared" si="10"/>
        <v>After 5G</v>
      </c>
      <c r="C329">
        <v>160017</v>
      </c>
      <c r="D329" t="str">
        <f t="shared" si="11"/>
        <v>Chandigarh</v>
      </c>
      <c r="E329" t="s">
        <v>20</v>
      </c>
      <c r="F329">
        <v>0.53</v>
      </c>
    </row>
    <row r="330" spans="1:6">
      <c r="A330" s="1">
        <v>44743</v>
      </c>
      <c r="B330" s="1" t="str">
        <f t="shared" si="10"/>
        <v>After 5G</v>
      </c>
      <c r="C330">
        <v>122001</v>
      </c>
      <c r="D330" t="str">
        <f t="shared" si="11"/>
        <v>Gurgaon</v>
      </c>
      <c r="E330" t="s">
        <v>20</v>
      </c>
      <c r="F330">
        <v>0.85</v>
      </c>
    </row>
    <row r="331" spans="1:6">
      <c r="A331" s="1">
        <v>44743</v>
      </c>
      <c r="B331" s="1" t="str">
        <f t="shared" si="10"/>
        <v>After 5G</v>
      </c>
      <c r="C331">
        <v>492001</v>
      </c>
      <c r="D331" t="str">
        <f t="shared" si="11"/>
        <v>Raipur</v>
      </c>
      <c r="E331" t="s">
        <v>20</v>
      </c>
      <c r="F331">
        <v>0.38</v>
      </c>
    </row>
    <row r="332" spans="1:6">
      <c r="A332" s="1">
        <v>44774</v>
      </c>
      <c r="B332" s="1" t="str">
        <f t="shared" si="10"/>
        <v>After 5G</v>
      </c>
      <c r="C332">
        <v>400001</v>
      </c>
      <c r="D332" t="str">
        <f t="shared" si="11"/>
        <v>Mumbai</v>
      </c>
      <c r="E332" t="s">
        <v>20</v>
      </c>
      <c r="F332">
        <v>4.25</v>
      </c>
    </row>
    <row r="333" spans="1:6">
      <c r="A333" s="1">
        <v>44774</v>
      </c>
      <c r="B333" s="1" t="str">
        <f t="shared" si="10"/>
        <v>After 5G</v>
      </c>
      <c r="C333">
        <v>110001</v>
      </c>
      <c r="D333" t="str">
        <f t="shared" si="11"/>
        <v>Delhi</v>
      </c>
      <c r="E333" t="s">
        <v>20</v>
      </c>
      <c r="F333">
        <v>3.37</v>
      </c>
    </row>
    <row r="334" spans="1:6">
      <c r="A334" s="1">
        <v>44774</v>
      </c>
      <c r="B334" s="1" t="str">
        <f t="shared" si="10"/>
        <v>After 5G</v>
      </c>
      <c r="C334">
        <v>700001</v>
      </c>
      <c r="D334" t="str">
        <f t="shared" si="11"/>
        <v>Kolkata</v>
      </c>
      <c r="E334" t="s">
        <v>20</v>
      </c>
      <c r="F334">
        <v>6.55</v>
      </c>
    </row>
    <row r="335" spans="1:6">
      <c r="A335" s="1">
        <v>44774</v>
      </c>
      <c r="B335" s="1" t="str">
        <f t="shared" si="10"/>
        <v>After 5G</v>
      </c>
      <c r="C335">
        <v>560001</v>
      </c>
      <c r="D335" t="str">
        <f t="shared" si="11"/>
        <v>Bangalore</v>
      </c>
      <c r="E335" t="s">
        <v>20</v>
      </c>
      <c r="F335">
        <v>3.5</v>
      </c>
    </row>
    <row r="336" spans="1:6">
      <c r="A336" s="1">
        <v>44774</v>
      </c>
      <c r="B336" s="1" t="str">
        <f t="shared" si="10"/>
        <v>After 5G</v>
      </c>
      <c r="C336">
        <v>600001</v>
      </c>
      <c r="D336" t="str">
        <f t="shared" si="11"/>
        <v>Chennai</v>
      </c>
      <c r="E336" t="s">
        <v>20</v>
      </c>
      <c r="F336">
        <v>2.42</v>
      </c>
    </row>
    <row r="337" spans="1:6">
      <c r="A337" s="1">
        <v>44774</v>
      </c>
      <c r="B337" s="1" t="str">
        <f t="shared" si="10"/>
        <v>After 5G</v>
      </c>
      <c r="C337">
        <v>500001</v>
      </c>
      <c r="D337" t="str">
        <f t="shared" si="11"/>
        <v>Hyderabad</v>
      </c>
      <c r="E337" t="s">
        <v>20</v>
      </c>
      <c r="F337">
        <v>2.54</v>
      </c>
    </row>
    <row r="338" spans="1:6">
      <c r="A338" s="1">
        <v>44774</v>
      </c>
      <c r="B338" s="1" t="str">
        <f t="shared" si="10"/>
        <v>After 5G</v>
      </c>
      <c r="C338">
        <v>411001</v>
      </c>
      <c r="D338" t="str">
        <f t="shared" si="11"/>
        <v>Pune</v>
      </c>
      <c r="E338" t="s">
        <v>20</v>
      </c>
      <c r="F338">
        <v>2.15</v>
      </c>
    </row>
    <row r="339" spans="1:6">
      <c r="A339" s="1">
        <v>44774</v>
      </c>
      <c r="B339" s="1" t="str">
        <f t="shared" si="10"/>
        <v>After 5G</v>
      </c>
      <c r="C339">
        <v>380001</v>
      </c>
      <c r="D339" t="str">
        <f t="shared" si="11"/>
        <v>Ahmedabad</v>
      </c>
      <c r="E339" t="s">
        <v>20</v>
      </c>
      <c r="F339">
        <v>1.99</v>
      </c>
    </row>
    <row r="340" spans="1:6">
      <c r="A340" s="1">
        <v>44774</v>
      </c>
      <c r="B340" s="1" t="str">
        <f t="shared" si="10"/>
        <v>After 5G</v>
      </c>
      <c r="C340">
        <v>302001</v>
      </c>
      <c r="D340" t="str">
        <f t="shared" si="11"/>
        <v>Jaipur</v>
      </c>
      <c r="E340" t="s">
        <v>20</v>
      </c>
      <c r="F340">
        <v>1.52</v>
      </c>
    </row>
    <row r="341" spans="1:6">
      <c r="A341" s="1">
        <v>44774</v>
      </c>
      <c r="B341" s="1" t="str">
        <f t="shared" si="10"/>
        <v>After 5G</v>
      </c>
      <c r="C341">
        <v>226001</v>
      </c>
      <c r="D341" t="str">
        <f t="shared" si="11"/>
        <v>Lucknow</v>
      </c>
      <c r="E341" t="s">
        <v>20</v>
      </c>
      <c r="F341">
        <v>1.39</v>
      </c>
    </row>
    <row r="342" spans="1:6">
      <c r="A342" s="1">
        <v>44774</v>
      </c>
      <c r="B342" s="1" t="str">
        <f t="shared" si="10"/>
        <v>After 5G</v>
      </c>
      <c r="C342">
        <v>800008</v>
      </c>
      <c r="D342" t="str">
        <f t="shared" si="11"/>
        <v>Patna</v>
      </c>
      <c r="E342" t="s">
        <v>20</v>
      </c>
      <c r="F342">
        <v>0.94</v>
      </c>
    </row>
    <row r="343" spans="1:6">
      <c r="A343" s="1">
        <v>44774</v>
      </c>
      <c r="B343" s="1" t="str">
        <f t="shared" si="10"/>
        <v>After 5G</v>
      </c>
      <c r="C343">
        <v>641001</v>
      </c>
      <c r="D343" t="str">
        <f t="shared" si="11"/>
        <v>Coimbatore</v>
      </c>
      <c r="E343" t="s">
        <v>20</v>
      </c>
      <c r="F343">
        <v>1.49</v>
      </c>
    </row>
    <row r="344" spans="1:6">
      <c r="A344" s="1">
        <v>44774</v>
      </c>
      <c r="B344" s="1" t="str">
        <f t="shared" si="10"/>
        <v>After 5G</v>
      </c>
      <c r="C344">
        <v>160017</v>
      </c>
      <c r="D344" t="str">
        <f t="shared" si="11"/>
        <v>Chandigarh</v>
      </c>
      <c r="E344" t="s">
        <v>20</v>
      </c>
      <c r="F344">
        <v>0.49</v>
      </c>
    </row>
    <row r="345" spans="1:6">
      <c r="A345" s="1">
        <v>44774</v>
      </c>
      <c r="B345" s="1" t="str">
        <f t="shared" si="10"/>
        <v>After 5G</v>
      </c>
      <c r="C345">
        <v>122001</v>
      </c>
      <c r="D345" t="str">
        <f t="shared" si="11"/>
        <v>Gurgaon</v>
      </c>
      <c r="E345" t="s">
        <v>20</v>
      </c>
      <c r="F345">
        <v>0.55000000000000004</v>
      </c>
    </row>
    <row r="346" spans="1:6">
      <c r="A346" s="1">
        <v>44774</v>
      </c>
      <c r="B346" s="1" t="str">
        <f t="shared" si="10"/>
        <v>After 5G</v>
      </c>
      <c r="C346">
        <v>492001</v>
      </c>
      <c r="D346" t="str">
        <f t="shared" si="11"/>
        <v>Raipur</v>
      </c>
      <c r="E346" t="s">
        <v>20</v>
      </c>
      <c r="F346">
        <v>0.33</v>
      </c>
    </row>
    <row r="347" spans="1:6">
      <c r="A347" s="1">
        <v>44805</v>
      </c>
      <c r="B347" s="1" t="str">
        <f t="shared" si="10"/>
        <v>After 5G</v>
      </c>
      <c r="C347">
        <v>400001</v>
      </c>
      <c r="D347" t="str">
        <f t="shared" si="11"/>
        <v>Mumbai</v>
      </c>
      <c r="E347" t="s">
        <v>20</v>
      </c>
      <c r="F347">
        <v>4.75</v>
      </c>
    </row>
    <row r="348" spans="1:6">
      <c r="A348" s="1">
        <v>44805</v>
      </c>
      <c r="B348" s="1" t="str">
        <f t="shared" si="10"/>
        <v>After 5G</v>
      </c>
      <c r="C348">
        <v>110001</v>
      </c>
      <c r="D348" t="str">
        <f t="shared" si="11"/>
        <v>Delhi</v>
      </c>
      <c r="E348" t="s">
        <v>20</v>
      </c>
      <c r="F348">
        <v>4.66</v>
      </c>
    </row>
    <row r="349" spans="1:6">
      <c r="A349" s="1">
        <v>44805</v>
      </c>
      <c r="B349" s="1" t="str">
        <f t="shared" si="10"/>
        <v>After 5G</v>
      </c>
      <c r="C349">
        <v>700001</v>
      </c>
      <c r="D349" t="str">
        <f t="shared" si="11"/>
        <v>Kolkata</v>
      </c>
      <c r="E349" t="s">
        <v>20</v>
      </c>
      <c r="F349">
        <v>3.98</v>
      </c>
    </row>
    <row r="350" spans="1:6">
      <c r="A350" s="1">
        <v>44805</v>
      </c>
      <c r="B350" s="1" t="str">
        <f t="shared" si="10"/>
        <v>After 5G</v>
      </c>
      <c r="C350">
        <v>560001</v>
      </c>
      <c r="D350" t="str">
        <f t="shared" si="11"/>
        <v>Bangalore</v>
      </c>
      <c r="E350" t="s">
        <v>20</v>
      </c>
      <c r="F350">
        <v>2.96</v>
      </c>
    </row>
    <row r="351" spans="1:6">
      <c r="A351" s="1">
        <v>44805</v>
      </c>
      <c r="B351" s="1" t="str">
        <f t="shared" si="10"/>
        <v>After 5G</v>
      </c>
      <c r="C351">
        <v>600001</v>
      </c>
      <c r="D351" t="str">
        <f t="shared" si="11"/>
        <v>Chennai</v>
      </c>
      <c r="E351" t="s">
        <v>20</v>
      </c>
      <c r="F351">
        <v>2.04</v>
      </c>
    </row>
    <row r="352" spans="1:6">
      <c r="A352" s="1">
        <v>44805</v>
      </c>
      <c r="B352" s="1" t="str">
        <f t="shared" si="10"/>
        <v>After 5G</v>
      </c>
      <c r="C352">
        <v>500001</v>
      </c>
      <c r="D352" t="str">
        <f t="shared" si="11"/>
        <v>Hyderabad</v>
      </c>
      <c r="E352" t="s">
        <v>20</v>
      </c>
      <c r="F352">
        <v>1.87</v>
      </c>
    </row>
    <row r="353" spans="1:6">
      <c r="A353" s="1">
        <v>44805</v>
      </c>
      <c r="B353" s="1" t="str">
        <f t="shared" si="10"/>
        <v>After 5G</v>
      </c>
      <c r="C353">
        <v>411001</v>
      </c>
      <c r="D353" t="str">
        <f t="shared" si="11"/>
        <v>Pune</v>
      </c>
      <c r="E353" t="s">
        <v>20</v>
      </c>
      <c r="F353">
        <v>3.62</v>
      </c>
    </row>
    <row r="354" spans="1:6">
      <c r="A354" s="1">
        <v>44805</v>
      </c>
      <c r="B354" s="1" t="str">
        <f t="shared" si="10"/>
        <v>After 5G</v>
      </c>
      <c r="C354">
        <v>380001</v>
      </c>
      <c r="D354" t="str">
        <f t="shared" si="11"/>
        <v>Ahmedabad</v>
      </c>
      <c r="E354" t="s">
        <v>20</v>
      </c>
      <c r="F354">
        <v>2</v>
      </c>
    </row>
    <row r="355" spans="1:6">
      <c r="A355" s="1">
        <v>44805</v>
      </c>
      <c r="B355" s="1" t="str">
        <f t="shared" si="10"/>
        <v>After 5G</v>
      </c>
      <c r="C355">
        <v>302001</v>
      </c>
      <c r="D355" t="str">
        <f t="shared" si="11"/>
        <v>Jaipur</v>
      </c>
      <c r="E355" t="s">
        <v>20</v>
      </c>
      <c r="F355">
        <v>1.35</v>
      </c>
    </row>
    <row r="356" spans="1:6">
      <c r="A356" s="1">
        <v>44805</v>
      </c>
      <c r="B356" s="1" t="str">
        <f t="shared" si="10"/>
        <v>After 5G</v>
      </c>
      <c r="C356">
        <v>226001</v>
      </c>
      <c r="D356" t="str">
        <f t="shared" si="11"/>
        <v>Lucknow</v>
      </c>
      <c r="E356" t="s">
        <v>20</v>
      </c>
      <c r="F356">
        <v>1.0900000000000001</v>
      </c>
    </row>
    <row r="357" spans="1:6">
      <c r="A357" s="1">
        <v>44805</v>
      </c>
      <c r="B357" s="1" t="str">
        <f t="shared" si="10"/>
        <v>After 5G</v>
      </c>
      <c r="C357">
        <v>800008</v>
      </c>
      <c r="D357" t="str">
        <f t="shared" si="11"/>
        <v>Patna</v>
      </c>
      <c r="E357" t="s">
        <v>20</v>
      </c>
      <c r="F357">
        <v>1.07</v>
      </c>
    </row>
    <row r="358" spans="1:6">
      <c r="A358" s="1">
        <v>44805</v>
      </c>
      <c r="B358" s="1" t="str">
        <f t="shared" si="10"/>
        <v>After 5G</v>
      </c>
      <c r="C358">
        <v>641001</v>
      </c>
      <c r="D358" t="str">
        <f t="shared" si="11"/>
        <v>Coimbatore</v>
      </c>
      <c r="E358" t="s">
        <v>20</v>
      </c>
      <c r="F358">
        <v>0.64</v>
      </c>
    </row>
    <row r="359" spans="1:6">
      <c r="A359" s="1">
        <v>44805</v>
      </c>
      <c r="B359" s="1" t="str">
        <f t="shared" si="10"/>
        <v>After 5G</v>
      </c>
      <c r="C359">
        <v>160017</v>
      </c>
      <c r="D359" t="str">
        <f t="shared" si="11"/>
        <v>Chandigarh</v>
      </c>
      <c r="E359" t="s">
        <v>20</v>
      </c>
      <c r="F359">
        <v>0.81</v>
      </c>
    </row>
    <row r="360" spans="1:6">
      <c r="A360" s="1">
        <v>44805</v>
      </c>
      <c r="B360" s="1" t="str">
        <f t="shared" si="10"/>
        <v>After 5G</v>
      </c>
      <c r="C360">
        <v>122001</v>
      </c>
      <c r="D360" t="str">
        <f t="shared" si="11"/>
        <v>Gurgaon</v>
      </c>
      <c r="E360" t="s">
        <v>20</v>
      </c>
      <c r="F360">
        <v>0.45</v>
      </c>
    </row>
    <row r="361" spans="1:6">
      <c r="A361" s="1">
        <v>44805</v>
      </c>
      <c r="B361" s="1" t="str">
        <f t="shared" si="10"/>
        <v>After 5G</v>
      </c>
      <c r="C361">
        <v>492001</v>
      </c>
      <c r="D361" t="str">
        <f t="shared" si="11"/>
        <v>Raipur</v>
      </c>
      <c r="E361" t="s">
        <v>20</v>
      </c>
      <c r="F361">
        <v>0.36</v>
      </c>
    </row>
    <row r="362" spans="1:6">
      <c r="A362" s="1">
        <v>44562</v>
      </c>
      <c r="B362" s="1" t="str">
        <f t="shared" si="10"/>
        <v>Before 5G</v>
      </c>
      <c r="C362">
        <v>400001</v>
      </c>
      <c r="D362" t="str">
        <f t="shared" si="11"/>
        <v>Mumbai</v>
      </c>
      <c r="E362" t="s">
        <v>22</v>
      </c>
      <c r="F362">
        <v>3.48</v>
      </c>
    </row>
    <row r="363" spans="1:6">
      <c r="A363" s="1">
        <v>44562</v>
      </c>
      <c r="B363" s="1" t="str">
        <f t="shared" si="10"/>
        <v>Before 5G</v>
      </c>
      <c r="C363">
        <v>110001</v>
      </c>
      <c r="D363" t="str">
        <f t="shared" si="11"/>
        <v>Delhi</v>
      </c>
      <c r="E363" t="s">
        <v>22</v>
      </c>
      <c r="F363">
        <v>3.29</v>
      </c>
    </row>
    <row r="364" spans="1:6">
      <c r="A364" s="1">
        <v>44562</v>
      </c>
      <c r="B364" s="1" t="str">
        <f t="shared" si="10"/>
        <v>Before 5G</v>
      </c>
      <c r="C364">
        <v>700001</v>
      </c>
      <c r="D364" t="str">
        <f t="shared" si="11"/>
        <v>Kolkata</v>
      </c>
      <c r="E364" t="s">
        <v>22</v>
      </c>
      <c r="F364">
        <v>3.32</v>
      </c>
    </row>
    <row r="365" spans="1:6">
      <c r="A365" s="1">
        <v>44562</v>
      </c>
      <c r="B365" s="1" t="str">
        <f t="shared" si="10"/>
        <v>Before 5G</v>
      </c>
      <c r="C365">
        <v>560001</v>
      </c>
      <c r="D365" t="str">
        <f t="shared" si="11"/>
        <v>Bangalore</v>
      </c>
      <c r="E365" t="s">
        <v>22</v>
      </c>
      <c r="F365">
        <v>2.88</v>
      </c>
    </row>
    <row r="366" spans="1:6">
      <c r="A366" s="1">
        <v>44562</v>
      </c>
      <c r="B366" s="1" t="str">
        <f t="shared" si="10"/>
        <v>Before 5G</v>
      </c>
      <c r="C366">
        <v>600001</v>
      </c>
      <c r="D366" t="str">
        <f t="shared" si="11"/>
        <v>Chennai</v>
      </c>
      <c r="E366" t="s">
        <v>22</v>
      </c>
      <c r="F366">
        <v>2.04</v>
      </c>
    </row>
    <row r="367" spans="1:6">
      <c r="A367" s="1">
        <v>44562</v>
      </c>
      <c r="B367" s="1" t="str">
        <f t="shared" si="10"/>
        <v>Before 5G</v>
      </c>
      <c r="C367">
        <v>500001</v>
      </c>
      <c r="D367" t="str">
        <f t="shared" si="11"/>
        <v>Hyderabad</v>
      </c>
      <c r="E367" t="s">
        <v>22</v>
      </c>
      <c r="F367">
        <v>1.67</v>
      </c>
    </row>
    <row r="368" spans="1:6">
      <c r="A368" s="1">
        <v>44562</v>
      </c>
      <c r="B368" s="1" t="str">
        <f t="shared" si="10"/>
        <v>Before 5G</v>
      </c>
      <c r="C368">
        <v>411001</v>
      </c>
      <c r="D368" t="str">
        <f t="shared" si="11"/>
        <v>Pune</v>
      </c>
      <c r="E368" t="s">
        <v>22</v>
      </c>
      <c r="F368">
        <v>1.54</v>
      </c>
    </row>
    <row r="369" spans="1:6">
      <c r="A369" s="1">
        <v>44562</v>
      </c>
      <c r="B369" s="1" t="str">
        <f t="shared" si="10"/>
        <v>Before 5G</v>
      </c>
      <c r="C369">
        <v>380001</v>
      </c>
      <c r="D369" t="str">
        <f t="shared" si="11"/>
        <v>Ahmedabad</v>
      </c>
      <c r="E369" t="s">
        <v>22</v>
      </c>
      <c r="F369">
        <v>1.37</v>
      </c>
    </row>
    <row r="370" spans="1:6">
      <c r="A370" s="1">
        <v>44562</v>
      </c>
      <c r="B370" s="1" t="str">
        <f t="shared" si="10"/>
        <v>Before 5G</v>
      </c>
      <c r="C370">
        <v>302001</v>
      </c>
      <c r="D370" t="str">
        <f t="shared" si="11"/>
        <v>Jaipur</v>
      </c>
      <c r="E370" t="s">
        <v>22</v>
      </c>
      <c r="F370">
        <v>1.3</v>
      </c>
    </row>
    <row r="371" spans="1:6">
      <c r="A371" s="1">
        <v>44562</v>
      </c>
      <c r="B371" s="1" t="str">
        <f t="shared" si="10"/>
        <v>Before 5G</v>
      </c>
      <c r="C371">
        <v>226001</v>
      </c>
      <c r="D371" t="str">
        <f t="shared" si="11"/>
        <v>Lucknow</v>
      </c>
      <c r="E371" t="s">
        <v>22</v>
      </c>
      <c r="F371">
        <v>0.8</v>
      </c>
    </row>
    <row r="372" spans="1:6">
      <c r="A372" s="1">
        <v>44562</v>
      </c>
      <c r="B372" s="1" t="str">
        <f t="shared" si="10"/>
        <v>Before 5G</v>
      </c>
      <c r="C372">
        <v>800008</v>
      </c>
      <c r="D372" t="str">
        <f t="shared" si="11"/>
        <v>Patna</v>
      </c>
      <c r="E372" t="s">
        <v>22</v>
      </c>
      <c r="F372">
        <v>1.1100000000000001</v>
      </c>
    </row>
    <row r="373" spans="1:6">
      <c r="A373" s="1">
        <v>44562</v>
      </c>
      <c r="B373" s="1" t="str">
        <f t="shared" si="10"/>
        <v>Before 5G</v>
      </c>
      <c r="C373">
        <v>641001</v>
      </c>
      <c r="D373" t="str">
        <f t="shared" si="11"/>
        <v>Coimbatore</v>
      </c>
      <c r="E373" t="s">
        <v>22</v>
      </c>
      <c r="F373">
        <v>0.45</v>
      </c>
    </row>
    <row r="374" spans="1:6">
      <c r="A374" s="1">
        <v>44562</v>
      </c>
      <c r="B374" s="1" t="str">
        <f t="shared" si="10"/>
        <v>Before 5G</v>
      </c>
      <c r="C374">
        <v>160017</v>
      </c>
      <c r="D374" t="str">
        <f t="shared" si="11"/>
        <v>Chandigarh</v>
      </c>
      <c r="E374" t="s">
        <v>22</v>
      </c>
      <c r="F374">
        <v>0.39</v>
      </c>
    </row>
    <row r="375" spans="1:6">
      <c r="A375" s="1">
        <v>44562</v>
      </c>
      <c r="B375" s="1" t="str">
        <f t="shared" si="10"/>
        <v>Before 5G</v>
      </c>
      <c r="C375">
        <v>122001</v>
      </c>
      <c r="D375" t="str">
        <f t="shared" si="11"/>
        <v>Gurgaon</v>
      </c>
      <c r="E375" t="s">
        <v>22</v>
      </c>
      <c r="F375">
        <v>0.36</v>
      </c>
    </row>
    <row r="376" spans="1:6">
      <c r="A376" s="1">
        <v>44562</v>
      </c>
      <c r="B376" s="1" t="str">
        <f t="shared" si="10"/>
        <v>Before 5G</v>
      </c>
      <c r="C376">
        <v>492001</v>
      </c>
      <c r="D376" t="str">
        <f t="shared" si="11"/>
        <v>Raipur</v>
      </c>
      <c r="E376" t="s">
        <v>22</v>
      </c>
      <c r="F376">
        <v>0.28999999999999998</v>
      </c>
    </row>
    <row r="377" spans="1:6">
      <c r="A377" s="1">
        <v>44593</v>
      </c>
      <c r="B377" s="1" t="str">
        <f t="shared" si="10"/>
        <v>Before 5G</v>
      </c>
      <c r="C377">
        <v>400001</v>
      </c>
      <c r="D377" t="str">
        <f t="shared" si="11"/>
        <v>Mumbai</v>
      </c>
      <c r="E377" t="s">
        <v>22</v>
      </c>
      <c r="F377">
        <v>4.03</v>
      </c>
    </row>
    <row r="378" spans="1:6">
      <c r="A378" s="1">
        <v>44593</v>
      </c>
      <c r="B378" s="1" t="str">
        <f t="shared" si="10"/>
        <v>Before 5G</v>
      </c>
      <c r="C378">
        <v>110001</v>
      </c>
      <c r="D378" t="str">
        <f t="shared" si="11"/>
        <v>Delhi</v>
      </c>
      <c r="E378" t="s">
        <v>22</v>
      </c>
      <c r="F378">
        <v>2.96</v>
      </c>
    </row>
    <row r="379" spans="1:6">
      <c r="A379" s="1">
        <v>44593</v>
      </c>
      <c r="B379" s="1" t="str">
        <f t="shared" si="10"/>
        <v>Before 5G</v>
      </c>
      <c r="C379">
        <v>700001</v>
      </c>
      <c r="D379" t="str">
        <f t="shared" si="11"/>
        <v>Kolkata</v>
      </c>
      <c r="E379" t="s">
        <v>22</v>
      </c>
      <c r="F379">
        <v>2.91</v>
      </c>
    </row>
    <row r="380" spans="1:6">
      <c r="A380" s="1">
        <v>44593</v>
      </c>
      <c r="B380" s="1" t="str">
        <f t="shared" si="10"/>
        <v>Before 5G</v>
      </c>
      <c r="C380">
        <v>560001</v>
      </c>
      <c r="D380" t="str">
        <f t="shared" si="11"/>
        <v>Bangalore</v>
      </c>
      <c r="E380" t="s">
        <v>22</v>
      </c>
      <c r="F380">
        <v>3.18</v>
      </c>
    </row>
    <row r="381" spans="1:6">
      <c r="A381" s="1">
        <v>44593</v>
      </c>
      <c r="B381" s="1" t="str">
        <f t="shared" si="10"/>
        <v>Before 5G</v>
      </c>
      <c r="C381">
        <v>600001</v>
      </c>
      <c r="D381" t="str">
        <f t="shared" si="11"/>
        <v>Chennai</v>
      </c>
      <c r="E381" t="s">
        <v>22</v>
      </c>
      <c r="F381">
        <v>4.04</v>
      </c>
    </row>
    <row r="382" spans="1:6">
      <c r="A382" s="1">
        <v>44593</v>
      </c>
      <c r="B382" s="1" t="str">
        <f t="shared" si="10"/>
        <v>Before 5G</v>
      </c>
      <c r="C382">
        <v>500001</v>
      </c>
      <c r="D382" t="str">
        <f t="shared" si="11"/>
        <v>Hyderabad</v>
      </c>
      <c r="E382" t="s">
        <v>22</v>
      </c>
      <c r="F382">
        <v>2.2000000000000002</v>
      </c>
    </row>
    <row r="383" spans="1:6">
      <c r="A383" s="1">
        <v>44593</v>
      </c>
      <c r="B383" s="1" t="str">
        <f t="shared" si="10"/>
        <v>Before 5G</v>
      </c>
      <c r="C383">
        <v>411001</v>
      </c>
      <c r="D383" t="str">
        <f t="shared" si="11"/>
        <v>Pune</v>
      </c>
      <c r="E383" t="s">
        <v>22</v>
      </c>
      <c r="F383">
        <v>1.97</v>
      </c>
    </row>
    <row r="384" spans="1:6">
      <c r="A384" s="1">
        <v>44593</v>
      </c>
      <c r="B384" s="1" t="str">
        <f t="shared" si="10"/>
        <v>Before 5G</v>
      </c>
      <c r="C384">
        <v>380001</v>
      </c>
      <c r="D384" t="str">
        <f t="shared" si="11"/>
        <v>Ahmedabad</v>
      </c>
      <c r="E384" t="s">
        <v>22</v>
      </c>
      <c r="F384">
        <v>1.08</v>
      </c>
    </row>
    <row r="385" spans="1:6">
      <c r="A385" s="1">
        <v>44593</v>
      </c>
      <c r="B385" s="1" t="str">
        <f t="shared" si="10"/>
        <v>Before 5G</v>
      </c>
      <c r="C385">
        <v>302001</v>
      </c>
      <c r="D385" t="str">
        <f t="shared" si="11"/>
        <v>Jaipur</v>
      </c>
      <c r="E385" t="s">
        <v>22</v>
      </c>
      <c r="F385">
        <v>0.91</v>
      </c>
    </row>
    <row r="386" spans="1:6">
      <c r="A386" s="1">
        <v>44593</v>
      </c>
      <c r="B386" s="1" t="str">
        <f t="shared" si="10"/>
        <v>Before 5G</v>
      </c>
      <c r="C386">
        <v>226001</v>
      </c>
      <c r="D386" t="str">
        <f t="shared" si="11"/>
        <v>Lucknow</v>
      </c>
      <c r="E386" t="s">
        <v>22</v>
      </c>
      <c r="F386">
        <v>1.96</v>
      </c>
    </row>
    <row r="387" spans="1:6">
      <c r="A387" s="1">
        <v>44593</v>
      </c>
      <c r="B387" s="1" t="str">
        <f t="shared" ref="B387:B450" si="12">VLOOKUP(A387,$H$2:$K$9,3,FALSE)</f>
        <v>Before 5G</v>
      </c>
      <c r="C387">
        <v>800008</v>
      </c>
      <c r="D387" t="str">
        <f t="shared" ref="D387:D450" si="13">VLOOKUP(C387,$M$2:$N$16,2,FALSE)</f>
        <v>Patna</v>
      </c>
      <c r="E387" t="s">
        <v>22</v>
      </c>
      <c r="F387">
        <v>0.68</v>
      </c>
    </row>
    <row r="388" spans="1:6">
      <c r="A388" s="1">
        <v>44593</v>
      </c>
      <c r="B388" s="1" t="str">
        <f t="shared" si="12"/>
        <v>Before 5G</v>
      </c>
      <c r="C388">
        <v>641001</v>
      </c>
      <c r="D388" t="str">
        <f t="shared" si="13"/>
        <v>Coimbatore</v>
      </c>
      <c r="E388" t="s">
        <v>22</v>
      </c>
      <c r="F388">
        <v>0.85</v>
      </c>
    </row>
    <row r="389" spans="1:6">
      <c r="A389" s="1">
        <v>44593</v>
      </c>
      <c r="B389" s="1" t="str">
        <f t="shared" si="12"/>
        <v>Before 5G</v>
      </c>
      <c r="C389">
        <v>160017</v>
      </c>
      <c r="D389" t="str">
        <f t="shared" si="13"/>
        <v>Chandigarh</v>
      </c>
      <c r="E389" t="s">
        <v>22</v>
      </c>
      <c r="F389">
        <v>0.36</v>
      </c>
    </row>
    <row r="390" spans="1:6">
      <c r="A390" s="1">
        <v>44593</v>
      </c>
      <c r="B390" s="1" t="str">
        <f t="shared" si="12"/>
        <v>Before 5G</v>
      </c>
      <c r="C390">
        <v>122001</v>
      </c>
      <c r="D390" t="str">
        <f t="shared" si="13"/>
        <v>Gurgaon</v>
      </c>
      <c r="E390" t="s">
        <v>22</v>
      </c>
      <c r="F390">
        <v>0.61</v>
      </c>
    </row>
    <row r="391" spans="1:6">
      <c r="A391" s="1">
        <v>44593</v>
      </c>
      <c r="B391" s="1" t="str">
        <f t="shared" si="12"/>
        <v>Before 5G</v>
      </c>
      <c r="C391">
        <v>492001</v>
      </c>
      <c r="D391" t="str">
        <f t="shared" si="13"/>
        <v>Raipur</v>
      </c>
      <c r="E391" t="s">
        <v>22</v>
      </c>
      <c r="F391">
        <v>0.27</v>
      </c>
    </row>
    <row r="392" spans="1:6">
      <c r="A392" s="1">
        <v>44621</v>
      </c>
      <c r="B392" s="1" t="str">
        <f t="shared" si="12"/>
        <v>Before 5G</v>
      </c>
      <c r="C392">
        <v>400001</v>
      </c>
      <c r="D392" t="str">
        <f t="shared" si="13"/>
        <v>Mumbai</v>
      </c>
      <c r="E392" t="s">
        <v>22</v>
      </c>
      <c r="F392">
        <v>3.47</v>
      </c>
    </row>
    <row r="393" spans="1:6">
      <c r="A393" s="1">
        <v>44621</v>
      </c>
      <c r="B393" s="1" t="str">
        <f t="shared" si="12"/>
        <v>Before 5G</v>
      </c>
      <c r="C393">
        <v>110001</v>
      </c>
      <c r="D393" t="str">
        <f t="shared" si="13"/>
        <v>Delhi</v>
      </c>
      <c r="E393" t="s">
        <v>22</v>
      </c>
      <c r="F393">
        <v>3.41</v>
      </c>
    </row>
    <row r="394" spans="1:6">
      <c r="A394" s="1">
        <v>44621</v>
      </c>
      <c r="B394" s="1" t="str">
        <f t="shared" si="12"/>
        <v>Before 5G</v>
      </c>
      <c r="C394">
        <v>700001</v>
      </c>
      <c r="D394" t="str">
        <f t="shared" si="13"/>
        <v>Kolkata</v>
      </c>
      <c r="E394" t="s">
        <v>22</v>
      </c>
      <c r="F394">
        <v>4.21</v>
      </c>
    </row>
    <row r="395" spans="1:6">
      <c r="A395" s="1">
        <v>44621</v>
      </c>
      <c r="B395" s="1" t="str">
        <f t="shared" si="12"/>
        <v>Before 5G</v>
      </c>
      <c r="C395">
        <v>560001</v>
      </c>
      <c r="D395" t="str">
        <f t="shared" si="13"/>
        <v>Bangalore</v>
      </c>
      <c r="E395" t="s">
        <v>22</v>
      </c>
      <c r="F395">
        <v>2.95</v>
      </c>
    </row>
    <row r="396" spans="1:6">
      <c r="A396" s="1">
        <v>44621</v>
      </c>
      <c r="B396" s="1" t="str">
        <f t="shared" si="12"/>
        <v>Before 5G</v>
      </c>
      <c r="C396">
        <v>600001</v>
      </c>
      <c r="D396" t="str">
        <f t="shared" si="13"/>
        <v>Chennai</v>
      </c>
      <c r="E396" t="s">
        <v>22</v>
      </c>
      <c r="F396">
        <v>1.76</v>
      </c>
    </row>
    <row r="397" spans="1:6">
      <c r="A397" s="1">
        <v>44621</v>
      </c>
      <c r="B397" s="1" t="str">
        <f t="shared" si="12"/>
        <v>Before 5G</v>
      </c>
      <c r="C397">
        <v>500001</v>
      </c>
      <c r="D397" t="str">
        <f t="shared" si="13"/>
        <v>Hyderabad</v>
      </c>
      <c r="E397" t="s">
        <v>22</v>
      </c>
      <c r="F397">
        <v>2.31</v>
      </c>
    </row>
    <row r="398" spans="1:6">
      <c r="A398" s="1">
        <v>44621</v>
      </c>
      <c r="B398" s="1" t="str">
        <f t="shared" si="12"/>
        <v>Before 5G</v>
      </c>
      <c r="C398">
        <v>411001</v>
      </c>
      <c r="D398" t="str">
        <f t="shared" si="13"/>
        <v>Pune</v>
      </c>
      <c r="E398" t="s">
        <v>22</v>
      </c>
      <c r="F398">
        <v>2.09</v>
      </c>
    </row>
    <row r="399" spans="1:6">
      <c r="A399" s="1">
        <v>44621</v>
      </c>
      <c r="B399" s="1" t="str">
        <f t="shared" si="12"/>
        <v>Before 5G</v>
      </c>
      <c r="C399">
        <v>380001</v>
      </c>
      <c r="D399" t="str">
        <f t="shared" si="13"/>
        <v>Ahmedabad</v>
      </c>
      <c r="E399" t="s">
        <v>22</v>
      </c>
      <c r="F399">
        <v>2.12</v>
      </c>
    </row>
    <row r="400" spans="1:6">
      <c r="A400" s="1">
        <v>44621</v>
      </c>
      <c r="B400" s="1" t="str">
        <f t="shared" si="12"/>
        <v>Before 5G</v>
      </c>
      <c r="C400">
        <v>302001</v>
      </c>
      <c r="D400" t="str">
        <f t="shared" si="13"/>
        <v>Jaipur</v>
      </c>
      <c r="E400" t="s">
        <v>22</v>
      </c>
      <c r="F400">
        <v>0.94</v>
      </c>
    </row>
    <row r="401" spans="1:6">
      <c r="A401" s="1">
        <v>44621</v>
      </c>
      <c r="B401" s="1" t="str">
        <f t="shared" si="12"/>
        <v>Before 5G</v>
      </c>
      <c r="C401">
        <v>226001</v>
      </c>
      <c r="D401" t="str">
        <f t="shared" si="13"/>
        <v>Lucknow</v>
      </c>
      <c r="E401" t="s">
        <v>22</v>
      </c>
      <c r="F401">
        <v>1.1299999999999999</v>
      </c>
    </row>
    <row r="402" spans="1:6">
      <c r="A402" s="1">
        <v>44621</v>
      </c>
      <c r="B402" s="1" t="str">
        <f t="shared" si="12"/>
        <v>Before 5G</v>
      </c>
      <c r="C402">
        <v>800008</v>
      </c>
      <c r="D402" t="str">
        <f t="shared" si="13"/>
        <v>Patna</v>
      </c>
      <c r="E402" t="s">
        <v>22</v>
      </c>
      <c r="F402">
        <v>0.66</v>
      </c>
    </row>
    <row r="403" spans="1:6">
      <c r="A403" s="1">
        <v>44621</v>
      </c>
      <c r="B403" s="1" t="str">
        <f t="shared" si="12"/>
        <v>Before 5G</v>
      </c>
      <c r="C403">
        <v>641001</v>
      </c>
      <c r="D403" t="str">
        <f t="shared" si="13"/>
        <v>Coimbatore</v>
      </c>
      <c r="E403" t="s">
        <v>22</v>
      </c>
      <c r="F403">
        <v>1.1299999999999999</v>
      </c>
    </row>
    <row r="404" spans="1:6">
      <c r="A404" s="1">
        <v>44621</v>
      </c>
      <c r="B404" s="1" t="str">
        <f t="shared" si="12"/>
        <v>Before 5G</v>
      </c>
      <c r="C404">
        <v>160017</v>
      </c>
      <c r="D404" t="str">
        <f t="shared" si="13"/>
        <v>Chandigarh</v>
      </c>
      <c r="E404" t="s">
        <v>22</v>
      </c>
      <c r="F404">
        <v>0.68</v>
      </c>
    </row>
    <row r="405" spans="1:6">
      <c r="A405" s="1">
        <v>44621</v>
      </c>
      <c r="B405" s="1" t="str">
        <f t="shared" si="12"/>
        <v>Before 5G</v>
      </c>
      <c r="C405">
        <v>122001</v>
      </c>
      <c r="D405" t="str">
        <f t="shared" si="13"/>
        <v>Gurgaon</v>
      </c>
      <c r="E405" t="s">
        <v>22</v>
      </c>
      <c r="F405">
        <v>0.32</v>
      </c>
    </row>
    <row r="406" spans="1:6">
      <c r="A406" s="1">
        <v>44621</v>
      </c>
      <c r="B406" s="1" t="str">
        <f t="shared" si="12"/>
        <v>Before 5G</v>
      </c>
      <c r="C406">
        <v>492001</v>
      </c>
      <c r="D406" t="str">
        <f t="shared" si="13"/>
        <v>Raipur</v>
      </c>
      <c r="E406" t="s">
        <v>22</v>
      </c>
      <c r="F406">
        <v>0.23</v>
      </c>
    </row>
    <row r="407" spans="1:6">
      <c r="A407" s="1">
        <v>44652</v>
      </c>
      <c r="B407" s="1" t="str">
        <f t="shared" si="12"/>
        <v>Before 5G</v>
      </c>
      <c r="C407">
        <v>400001</v>
      </c>
      <c r="D407" t="str">
        <f t="shared" si="13"/>
        <v>Mumbai</v>
      </c>
      <c r="E407" t="s">
        <v>22</v>
      </c>
      <c r="F407">
        <v>3.9</v>
      </c>
    </row>
    <row r="408" spans="1:6">
      <c r="A408" s="1">
        <v>44652</v>
      </c>
      <c r="B408" s="1" t="str">
        <f t="shared" si="12"/>
        <v>Before 5G</v>
      </c>
      <c r="C408">
        <v>110001</v>
      </c>
      <c r="D408" t="str">
        <f t="shared" si="13"/>
        <v>Delhi</v>
      </c>
      <c r="E408" t="s">
        <v>22</v>
      </c>
      <c r="F408">
        <v>3.15</v>
      </c>
    </row>
    <row r="409" spans="1:6">
      <c r="A409" s="1">
        <v>44652</v>
      </c>
      <c r="B409" s="1" t="str">
        <f t="shared" si="12"/>
        <v>Before 5G</v>
      </c>
      <c r="C409">
        <v>700001</v>
      </c>
      <c r="D409" t="str">
        <f t="shared" si="13"/>
        <v>Kolkata</v>
      </c>
      <c r="E409" t="s">
        <v>22</v>
      </c>
      <c r="F409">
        <v>3.2</v>
      </c>
    </row>
    <row r="410" spans="1:6">
      <c r="A410" s="1">
        <v>44652</v>
      </c>
      <c r="B410" s="1" t="str">
        <f t="shared" si="12"/>
        <v>Before 5G</v>
      </c>
      <c r="C410">
        <v>560001</v>
      </c>
      <c r="D410" t="str">
        <f t="shared" si="13"/>
        <v>Bangalore</v>
      </c>
      <c r="E410" t="s">
        <v>22</v>
      </c>
      <c r="F410">
        <v>3.62</v>
      </c>
    </row>
    <row r="411" spans="1:6">
      <c r="A411" s="1">
        <v>44652</v>
      </c>
      <c r="B411" s="1" t="str">
        <f t="shared" si="12"/>
        <v>Before 5G</v>
      </c>
      <c r="C411">
        <v>600001</v>
      </c>
      <c r="D411" t="str">
        <f t="shared" si="13"/>
        <v>Chennai</v>
      </c>
      <c r="E411" t="s">
        <v>22</v>
      </c>
      <c r="F411">
        <v>2.4500000000000002</v>
      </c>
    </row>
    <row r="412" spans="1:6">
      <c r="A412" s="1">
        <v>44652</v>
      </c>
      <c r="B412" s="1" t="str">
        <f t="shared" si="12"/>
        <v>Before 5G</v>
      </c>
      <c r="C412">
        <v>500001</v>
      </c>
      <c r="D412" t="str">
        <f t="shared" si="13"/>
        <v>Hyderabad</v>
      </c>
      <c r="E412" t="s">
        <v>22</v>
      </c>
      <c r="F412">
        <v>1.74</v>
      </c>
    </row>
    <row r="413" spans="1:6">
      <c r="A413" s="1">
        <v>44652</v>
      </c>
      <c r="B413" s="1" t="str">
        <f t="shared" si="12"/>
        <v>Before 5G</v>
      </c>
      <c r="C413">
        <v>411001</v>
      </c>
      <c r="D413" t="str">
        <f t="shared" si="13"/>
        <v>Pune</v>
      </c>
      <c r="E413" t="s">
        <v>22</v>
      </c>
      <c r="F413">
        <v>3.25</v>
      </c>
    </row>
    <row r="414" spans="1:6">
      <c r="A414" s="1">
        <v>44652</v>
      </c>
      <c r="B414" s="1" t="str">
        <f t="shared" si="12"/>
        <v>Before 5G</v>
      </c>
      <c r="C414">
        <v>380001</v>
      </c>
      <c r="D414" t="str">
        <f t="shared" si="13"/>
        <v>Ahmedabad</v>
      </c>
      <c r="E414" t="s">
        <v>22</v>
      </c>
      <c r="F414">
        <v>1.86</v>
      </c>
    </row>
    <row r="415" spans="1:6">
      <c r="A415" s="1">
        <v>44652</v>
      </c>
      <c r="B415" s="1" t="str">
        <f t="shared" si="12"/>
        <v>Before 5G</v>
      </c>
      <c r="C415">
        <v>302001</v>
      </c>
      <c r="D415" t="str">
        <f t="shared" si="13"/>
        <v>Jaipur</v>
      </c>
      <c r="E415" t="s">
        <v>22</v>
      </c>
      <c r="F415">
        <v>0.89</v>
      </c>
    </row>
    <row r="416" spans="1:6">
      <c r="A416" s="1">
        <v>44652</v>
      </c>
      <c r="B416" s="1" t="str">
        <f t="shared" si="12"/>
        <v>Before 5G</v>
      </c>
      <c r="C416">
        <v>226001</v>
      </c>
      <c r="D416" t="str">
        <f t="shared" si="13"/>
        <v>Lucknow</v>
      </c>
      <c r="E416" t="s">
        <v>22</v>
      </c>
      <c r="F416">
        <v>0.89</v>
      </c>
    </row>
    <row r="417" spans="1:6">
      <c r="A417" s="1">
        <v>44652</v>
      </c>
      <c r="B417" s="1" t="str">
        <f t="shared" si="12"/>
        <v>Before 5G</v>
      </c>
      <c r="C417">
        <v>800008</v>
      </c>
      <c r="D417" t="str">
        <f t="shared" si="13"/>
        <v>Patna</v>
      </c>
      <c r="E417" t="s">
        <v>22</v>
      </c>
      <c r="F417">
        <v>0.86</v>
      </c>
    </row>
    <row r="418" spans="1:6">
      <c r="A418" s="1">
        <v>44652</v>
      </c>
      <c r="B418" s="1" t="str">
        <f t="shared" si="12"/>
        <v>Before 5G</v>
      </c>
      <c r="C418">
        <v>641001</v>
      </c>
      <c r="D418" t="str">
        <f t="shared" si="13"/>
        <v>Coimbatore</v>
      </c>
      <c r="E418" t="s">
        <v>22</v>
      </c>
      <c r="F418">
        <v>0.7</v>
      </c>
    </row>
    <row r="419" spans="1:6">
      <c r="A419" s="1">
        <v>44652</v>
      </c>
      <c r="B419" s="1" t="str">
        <f t="shared" si="12"/>
        <v>Before 5G</v>
      </c>
      <c r="C419">
        <v>160017</v>
      </c>
      <c r="D419" t="str">
        <f t="shared" si="13"/>
        <v>Chandigarh</v>
      </c>
      <c r="E419" t="s">
        <v>22</v>
      </c>
      <c r="F419">
        <v>0.72</v>
      </c>
    </row>
    <row r="420" spans="1:6">
      <c r="A420" s="1">
        <v>44652</v>
      </c>
      <c r="B420" s="1" t="str">
        <f t="shared" si="12"/>
        <v>Before 5G</v>
      </c>
      <c r="C420">
        <v>122001</v>
      </c>
      <c r="D420" t="str">
        <f t="shared" si="13"/>
        <v>Gurgaon</v>
      </c>
      <c r="E420" t="s">
        <v>22</v>
      </c>
      <c r="F420">
        <v>0.34</v>
      </c>
    </row>
    <row r="421" spans="1:6">
      <c r="A421" s="1">
        <v>44652</v>
      </c>
      <c r="B421" s="1" t="str">
        <f t="shared" si="12"/>
        <v>Before 5G</v>
      </c>
      <c r="C421">
        <v>492001</v>
      </c>
      <c r="D421" t="str">
        <f t="shared" si="13"/>
        <v>Raipur</v>
      </c>
      <c r="E421" t="s">
        <v>22</v>
      </c>
      <c r="F421">
        <v>0.26</v>
      </c>
    </row>
    <row r="422" spans="1:6">
      <c r="A422" s="1">
        <v>44713</v>
      </c>
      <c r="B422" s="1" t="str">
        <f t="shared" si="12"/>
        <v>After 5G</v>
      </c>
      <c r="C422">
        <v>400001</v>
      </c>
      <c r="D422" t="str">
        <f t="shared" si="13"/>
        <v>Mumbai</v>
      </c>
      <c r="E422" t="s">
        <v>22</v>
      </c>
      <c r="F422">
        <v>3.36</v>
      </c>
    </row>
    <row r="423" spans="1:6">
      <c r="A423" s="1">
        <v>44713</v>
      </c>
      <c r="B423" s="1" t="str">
        <f t="shared" si="12"/>
        <v>After 5G</v>
      </c>
      <c r="C423">
        <v>110001</v>
      </c>
      <c r="D423" t="str">
        <f t="shared" si="13"/>
        <v>Delhi</v>
      </c>
      <c r="E423" t="s">
        <v>22</v>
      </c>
      <c r="F423">
        <v>2.21</v>
      </c>
    </row>
    <row r="424" spans="1:6">
      <c r="A424" s="1">
        <v>44713</v>
      </c>
      <c r="B424" s="1" t="str">
        <f t="shared" si="12"/>
        <v>After 5G</v>
      </c>
      <c r="C424">
        <v>700001</v>
      </c>
      <c r="D424" t="str">
        <f t="shared" si="13"/>
        <v>Kolkata</v>
      </c>
      <c r="E424" t="s">
        <v>22</v>
      </c>
      <c r="F424">
        <v>2.15</v>
      </c>
    </row>
    <row r="425" spans="1:6">
      <c r="A425" s="1">
        <v>44713</v>
      </c>
      <c r="B425" s="1" t="str">
        <f t="shared" si="12"/>
        <v>After 5G</v>
      </c>
      <c r="C425">
        <v>560001</v>
      </c>
      <c r="D425" t="str">
        <f t="shared" si="13"/>
        <v>Bangalore</v>
      </c>
      <c r="E425" t="s">
        <v>22</v>
      </c>
      <c r="F425">
        <v>2.41</v>
      </c>
    </row>
    <row r="426" spans="1:6">
      <c r="A426" s="1">
        <v>44713</v>
      </c>
      <c r="B426" s="1" t="str">
        <f t="shared" si="12"/>
        <v>After 5G</v>
      </c>
      <c r="C426">
        <v>600001</v>
      </c>
      <c r="D426" t="str">
        <f t="shared" si="13"/>
        <v>Chennai</v>
      </c>
      <c r="E426" t="s">
        <v>22</v>
      </c>
      <c r="F426">
        <v>1.72</v>
      </c>
    </row>
    <row r="427" spans="1:6">
      <c r="A427" s="1">
        <v>44713</v>
      </c>
      <c r="B427" s="1" t="str">
        <f t="shared" si="12"/>
        <v>After 5G</v>
      </c>
      <c r="C427">
        <v>500001</v>
      </c>
      <c r="D427" t="str">
        <f t="shared" si="13"/>
        <v>Hyderabad</v>
      </c>
      <c r="E427" t="s">
        <v>22</v>
      </c>
      <c r="F427">
        <v>1.32</v>
      </c>
    </row>
    <row r="428" spans="1:6">
      <c r="A428" s="1">
        <v>44713</v>
      </c>
      <c r="B428" s="1" t="str">
        <f t="shared" si="12"/>
        <v>After 5G</v>
      </c>
      <c r="C428">
        <v>411001</v>
      </c>
      <c r="D428" t="str">
        <f t="shared" si="13"/>
        <v>Pune</v>
      </c>
      <c r="E428" t="s">
        <v>22</v>
      </c>
      <c r="F428">
        <v>1.44</v>
      </c>
    </row>
    <row r="429" spans="1:6">
      <c r="A429" s="1">
        <v>44713</v>
      </c>
      <c r="B429" s="1" t="str">
        <f t="shared" si="12"/>
        <v>After 5G</v>
      </c>
      <c r="C429">
        <v>380001</v>
      </c>
      <c r="D429" t="str">
        <f t="shared" si="13"/>
        <v>Ahmedabad</v>
      </c>
      <c r="E429" t="s">
        <v>22</v>
      </c>
      <c r="F429">
        <v>1.29</v>
      </c>
    </row>
    <row r="430" spans="1:6">
      <c r="A430" s="1">
        <v>44713</v>
      </c>
      <c r="B430" s="1" t="str">
        <f t="shared" si="12"/>
        <v>After 5G</v>
      </c>
      <c r="C430">
        <v>302001</v>
      </c>
      <c r="D430" t="str">
        <f t="shared" si="13"/>
        <v>Jaipur</v>
      </c>
      <c r="E430" t="s">
        <v>22</v>
      </c>
      <c r="F430">
        <v>1.1399999999999999</v>
      </c>
    </row>
    <row r="431" spans="1:6">
      <c r="A431" s="1">
        <v>44713</v>
      </c>
      <c r="B431" s="1" t="str">
        <f t="shared" si="12"/>
        <v>After 5G</v>
      </c>
      <c r="C431">
        <v>226001</v>
      </c>
      <c r="D431" t="str">
        <f t="shared" si="13"/>
        <v>Lucknow</v>
      </c>
      <c r="E431" t="s">
        <v>22</v>
      </c>
      <c r="F431">
        <v>0.62</v>
      </c>
    </row>
    <row r="432" spans="1:6">
      <c r="A432" s="1">
        <v>44713</v>
      </c>
      <c r="B432" s="1" t="str">
        <f t="shared" si="12"/>
        <v>After 5G</v>
      </c>
      <c r="C432">
        <v>800008</v>
      </c>
      <c r="D432" t="str">
        <f t="shared" si="13"/>
        <v>Patna</v>
      </c>
      <c r="E432" t="s">
        <v>22</v>
      </c>
      <c r="F432">
        <v>1.05</v>
      </c>
    </row>
    <row r="433" spans="1:6">
      <c r="A433" s="1">
        <v>44713</v>
      </c>
      <c r="B433" s="1" t="str">
        <f t="shared" si="12"/>
        <v>After 5G</v>
      </c>
      <c r="C433">
        <v>641001</v>
      </c>
      <c r="D433" t="str">
        <f t="shared" si="13"/>
        <v>Coimbatore</v>
      </c>
      <c r="E433" t="s">
        <v>22</v>
      </c>
      <c r="F433">
        <v>0.36</v>
      </c>
    </row>
    <row r="434" spans="1:6">
      <c r="A434" s="1">
        <v>44713</v>
      </c>
      <c r="B434" s="1" t="str">
        <f t="shared" si="12"/>
        <v>After 5G</v>
      </c>
      <c r="C434">
        <v>160017</v>
      </c>
      <c r="D434" t="str">
        <f t="shared" si="13"/>
        <v>Chandigarh</v>
      </c>
      <c r="E434" t="s">
        <v>22</v>
      </c>
      <c r="F434">
        <v>0.32</v>
      </c>
    </row>
    <row r="435" spans="1:6">
      <c r="A435" s="1">
        <v>44713</v>
      </c>
      <c r="B435" s="1" t="str">
        <f t="shared" si="12"/>
        <v>After 5G</v>
      </c>
      <c r="C435">
        <v>122001</v>
      </c>
      <c r="D435" t="str">
        <f t="shared" si="13"/>
        <v>Gurgaon</v>
      </c>
      <c r="E435" t="s">
        <v>22</v>
      </c>
      <c r="F435">
        <v>0.3</v>
      </c>
    </row>
    <row r="436" spans="1:6">
      <c r="A436" s="1">
        <v>44713</v>
      </c>
      <c r="B436" s="1" t="str">
        <f t="shared" si="12"/>
        <v>After 5G</v>
      </c>
      <c r="C436">
        <v>492001</v>
      </c>
      <c r="D436" t="str">
        <f t="shared" si="13"/>
        <v>Raipur</v>
      </c>
      <c r="E436" t="s">
        <v>22</v>
      </c>
      <c r="F436">
        <v>0.26</v>
      </c>
    </row>
    <row r="437" spans="1:6">
      <c r="A437" s="1">
        <v>44743</v>
      </c>
      <c r="B437" s="1" t="str">
        <f t="shared" si="12"/>
        <v>After 5G</v>
      </c>
      <c r="C437">
        <v>400001</v>
      </c>
      <c r="D437" t="str">
        <f t="shared" si="13"/>
        <v>Mumbai</v>
      </c>
      <c r="E437" t="s">
        <v>22</v>
      </c>
      <c r="F437">
        <v>2.68</v>
      </c>
    </row>
    <row r="438" spans="1:6">
      <c r="A438" s="1">
        <v>44743</v>
      </c>
      <c r="B438" s="1" t="str">
        <f t="shared" si="12"/>
        <v>After 5G</v>
      </c>
      <c r="C438">
        <v>110001</v>
      </c>
      <c r="D438" t="str">
        <f t="shared" si="13"/>
        <v>Delhi</v>
      </c>
      <c r="E438" t="s">
        <v>22</v>
      </c>
      <c r="F438">
        <v>3.33</v>
      </c>
    </row>
    <row r="439" spans="1:6">
      <c r="A439" s="1">
        <v>44743</v>
      </c>
      <c r="B439" s="1" t="str">
        <f t="shared" si="12"/>
        <v>After 5G</v>
      </c>
      <c r="C439">
        <v>700001</v>
      </c>
      <c r="D439" t="str">
        <f t="shared" si="13"/>
        <v>Kolkata</v>
      </c>
      <c r="E439" t="s">
        <v>22</v>
      </c>
      <c r="F439">
        <v>2.3199999999999998</v>
      </c>
    </row>
    <row r="440" spans="1:6">
      <c r="A440" s="1">
        <v>44743</v>
      </c>
      <c r="B440" s="1" t="str">
        <f t="shared" si="12"/>
        <v>After 5G</v>
      </c>
      <c r="C440">
        <v>560001</v>
      </c>
      <c r="D440" t="str">
        <f t="shared" si="13"/>
        <v>Bangalore</v>
      </c>
      <c r="E440" t="s">
        <v>22</v>
      </c>
      <c r="F440">
        <v>2.6</v>
      </c>
    </row>
    <row r="441" spans="1:6">
      <c r="A441" s="1">
        <v>44743</v>
      </c>
      <c r="B441" s="1" t="str">
        <f t="shared" si="12"/>
        <v>After 5G</v>
      </c>
      <c r="C441">
        <v>600001</v>
      </c>
      <c r="D441" t="str">
        <f t="shared" si="13"/>
        <v>Chennai</v>
      </c>
      <c r="E441" t="s">
        <v>22</v>
      </c>
      <c r="F441">
        <v>3.1</v>
      </c>
    </row>
    <row r="442" spans="1:6">
      <c r="A442" s="1">
        <v>44743</v>
      </c>
      <c r="B442" s="1" t="str">
        <f t="shared" si="12"/>
        <v>After 5G</v>
      </c>
      <c r="C442">
        <v>500001</v>
      </c>
      <c r="D442" t="str">
        <f t="shared" si="13"/>
        <v>Hyderabad</v>
      </c>
      <c r="E442" t="s">
        <v>22</v>
      </c>
      <c r="F442">
        <v>2.0299999999999998</v>
      </c>
    </row>
    <row r="443" spans="1:6">
      <c r="A443" s="1">
        <v>44743</v>
      </c>
      <c r="B443" s="1" t="str">
        <f t="shared" si="12"/>
        <v>After 5G</v>
      </c>
      <c r="C443">
        <v>411001</v>
      </c>
      <c r="D443" t="str">
        <f t="shared" si="13"/>
        <v>Pune</v>
      </c>
      <c r="E443" t="s">
        <v>22</v>
      </c>
      <c r="F443">
        <v>1.53</v>
      </c>
    </row>
    <row r="444" spans="1:6">
      <c r="A444" s="1">
        <v>44743</v>
      </c>
      <c r="B444" s="1" t="str">
        <f t="shared" si="12"/>
        <v>After 5G</v>
      </c>
      <c r="C444">
        <v>380001</v>
      </c>
      <c r="D444" t="str">
        <f t="shared" si="13"/>
        <v>Ahmedabad</v>
      </c>
      <c r="E444" t="s">
        <v>22</v>
      </c>
      <c r="F444">
        <v>1.27</v>
      </c>
    </row>
    <row r="445" spans="1:6">
      <c r="A445" s="1">
        <v>44743</v>
      </c>
      <c r="B445" s="1" t="str">
        <f t="shared" si="12"/>
        <v>After 5G</v>
      </c>
      <c r="C445">
        <v>302001</v>
      </c>
      <c r="D445" t="str">
        <f t="shared" si="13"/>
        <v>Jaipur</v>
      </c>
      <c r="E445" t="s">
        <v>22</v>
      </c>
      <c r="F445">
        <v>0.94</v>
      </c>
    </row>
    <row r="446" spans="1:6">
      <c r="A446" s="1">
        <v>44743</v>
      </c>
      <c r="B446" s="1" t="str">
        <f t="shared" si="12"/>
        <v>After 5G</v>
      </c>
      <c r="C446">
        <v>226001</v>
      </c>
      <c r="D446" t="str">
        <f t="shared" si="13"/>
        <v>Lucknow</v>
      </c>
      <c r="E446" t="s">
        <v>22</v>
      </c>
      <c r="F446">
        <v>1.46</v>
      </c>
    </row>
    <row r="447" spans="1:6">
      <c r="A447" s="1">
        <v>44743</v>
      </c>
      <c r="B447" s="1" t="str">
        <f t="shared" si="12"/>
        <v>After 5G</v>
      </c>
      <c r="C447">
        <v>800008</v>
      </c>
      <c r="D447" t="str">
        <f t="shared" si="13"/>
        <v>Patna</v>
      </c>
      <c r="E447" t="s">
        <v>22</v>
      </c>
      <c r="F447">
        <v>0.6</v>
      </c>
    </row>
    <row r="448" spans="1:6">
      <c r="A448" s="1">
        <v>44743</v>
      </c>
      <c r="B448" s="1" t="str">
        <f t="shared" si="12"/>
        <v>After 5G</v>
      </c>
      <c r="C448">
        <v>641001</v>
      </c>
      <c r="D448" t="str">
        <f t="shared" si="13"/>
        <v>Coimbatore</v>
      </c>
      <c r="E448" t="s">
        <v>22</v>
      </c>
      <c r="F448">
        <v>0.7</v>
      </c>
    </row>
    <row r="449" spans="1:6">
      <c r="A449" s="1">
        <v>44743</v>
      </c>
      <c r="B449" s="1" t="str">
        <f t="shared" si="12"/>
        <v>After 5G</v>
      </c>
      <c r="C449">
        <v>160017</v>
      </c>
      <c r="D449" t="str">
        <f t="shared" si="13"/>
        <v>Chandigarh</v>
      </c>
      <c r="E449" t="s">
        <v>22</v>
      </c>
      <c r="F449">
        <v>0.34</v>
      </c>
    </row>
    <row r="450" spans="1:6">
      <c r="A450" s="1">
        <v>44743</v>
      </c>
      <c r="B450" s="1" t="str">
        <f t="shared" si="12"/>
        <v>After 5G</v>
      </c>
      <c r="C450">
        <v>122001</v>
      </c>
      <c r="D450" t="str">
        <f t="shared" si="13"/>
        <v>Gurgaon</v>
      </c>
      <c r="E450" t="s">
        <v>22</v>
      </c>
      <c r="F450">
        <v>0.55000000000000004</v>
      </c>
    </row>
    <row r="451" spans="1:6">
      <c r="A451" s="1">
        <v>44743</v>
      </c>
      <c r="B451" s="1" t="str">
        <f t="shared" ref="B451:B514" si="14">VLOOKUP(A451,$H$2:$K$9,3,FALSE)</f>
        <v>After 5G</v>
      </c>
      <c r="C451">
        <v>492001</v>
      </c>
      <c r="D451" t="str">
        <f t="shared" ref="D451:D514" si="15">VLOOKUP(C451,$M$2:$N$16,2,FALSE)</f>
        <v>Raipur</v>
      </c>
      <c r="E451" t="s">
        <v>22</v>
      </c>
      <c r="F451">
        <v>0.22</v>
      </c>
    </row>
    <row r="452" spans="1:6">
      <c r="A452" s="1">
        <v>44774</v>
      </c>
      <c r="B452" s="1" t="str">
        <f t="shared" si="14"/>
        <v>After 5G</v>
      </c>
      <c r="C452">
        <v>400001</v>
      </c>
      <c r="D452" t="str">
        <f t="shared" si="15"/>
        <v>Mumbai</v>
      </c>
      <c r="E452" t="s">
        <v>22</v>
      </c>
      <c r="F452">
        <v>3.44</v>
      </c>
    </row>
    <row r="453" spans="1:6">
      <c r="A453" s="1">
        <v>44774</v>
      </c>
      <c r="B453" s="1" t="str">
        <f t="shared" si="14"/>
        <v>After 5G</v>
      </c>
      <c r="C453">
        <v>110001</v>
      </c>
      <c r="D453" t="str">
        <f t="shared" si="15"/>
        <v>Delhi</v>
      </c>
      <c r="E453" t="s">
        <v>22</v>
      </c>
      <c r="F453">
        <v>2.81</v>
      </c>
    </row>
    <row r="454" spans="1:6">
      <c r="A454" s="1">
        <v>44774</v>
      </c>
      <c r="B454" s="1" t="str">
        <f t="shared" si="14"/>
        <v>After 5G</v>
      </c>
      <c r="C454">
        <v>700001</v>
      </c>
      <c r="D454" t="str">
        <f t="shared" si="15"/>
        <v>Kolkata</v>
      </c>
      <c r="E454" t="s">
        <v>22</v>
      </c>
      <c r="F454">
        <v>3.28</v>
      </c>
    </row>
    <row r="455" spans="1:6">
      <c r="A455" s="1">
        <v>44774</v>
      </c>
      <c r="B455" s="1" t="str">
        <f t="shared" si="14"/>
        <v>After 5G</v>
      </c>
      <c r="C455">
        <v>560001</v>
      </c>
      <c r="D455" t="str">
        <f t="shared" si="15"/>
        <v>Bangalore</v>
      </c>
      <c r="E455" t="s">
        <v>22</v>
      </c>
      <c r="F455">
        <v>2.83</v>
      </c>
    </row>
    <row r="456" spans="1:6">
      <c r="A456" s="1">
        <v>44774</v>
      </c>
      <c r="B456" s="1" t="str">
        <f t="shared" si="14"/>
        <v>After 5G</v>
      </c>
      <c r="C456">
        <v>600001</v>
      </c>
      <c r="D456" t="str">
        <f t="shared" si="15"/>
        <v>Chennai</v>
      </c>
      <c r="E456" t="s">
        <v>22</v>
      </c>
      <c r="F456">
        <v>1.45</v>
      </c>
    </row>
    <row r="457" spans="1:6">
      <c r="A457" s="1">
        <v>44774</v>
      </c>
      <c r="B457" s="1" t="str">
        <f t="shared" si="14"/>
        <v>After 5G</v>
      </c>
      <c r="C457">
        <v>500001</v>
      </c>
      <c r="D457" t="str">
        <f t="shared" si="15"/>
        <v>Hyderabad</v>
      </c>
      <c r="E457" t="s">
        <v>22</v>
      </c>
      <c r="F457">
        <v>1.66</v>
      </c>
    </row>
    <row r="458" spans="1:6">
      <c r="A458" s="1">
        <v>44774</v>
      </c>
      <c r="B458" s="1" t="str">
        <f t="shared" si="14"/>
        <v>After 5G</v>
      </c>
      <c r="C458">
        <v>411001</v>
      </c>
      <c r="D458" t="str">
        <f t="shared" si="15"/>
        <v>Pune</v>
      </c>
      <c r="E458" t="s">
        <v>22</v>
      </c>
      <c r="F458">
        <v>1.47</v>
      </c>
    </row>
    <row r="459" spans="1:6">
      <c r="A459" s="1">
        <v>44774</v>
      </c>
      <c r="B459" s="1" t="str">
        <f t="shared" si="14"/>
        <v>After 5G</v>
      </c>
      <c r="C459">
        <v>380001</v>
      </c>
      <c r="D459" t="str">
        <f t="shared" si="15"/>
        <v>Ahmedabad</v>
      </c>
      <c r="E459" t="s">
        <v>22</v>
      </c>
      <c r="F459">
        <v>1.77</v>
      </c>
    </row>
    <row r="460" spans="1:6">
      <c r="A460" s="1">
        <v>44774</v>
      </c>
      <c r="B460" s="1" t="str">
        <f t="shared" si="14"/>
        <v>After 5G</v>
      </c>
      <c r="C460">
        <v>302001</v>
      </c>
      <c r="D460" t="str">
        <f t="shared" si="15"/>
        <v>Jaipur</v>
      </c>
      <c r="E460" t="s">
        <v>22</v>
      </c>
      <c r="F460">
        <v>0.86</v>
      </c>
    </row>
    <row r="461" spans="1:6">
      <c r="A461" s="1">
        <v>44774</v>
      </c>
      <c r="B461" s="1" t="str">
        <f t="shared" si="14"/>
        <v>After 5G</v>
      </c>
      <c r="C461">
        <v>226001</v>
      </c>
      <c r="D461" t="str">
        <f t="shared" si="15"/>
        <v>Lucknow</v>
      </c>
      <c r="E461" t="s">
        <v>22</v>
      </c>
      <c r="F461">
        <v>0.85</v>
      </c>
    </row>
    <row r="462" spans="1:6">
      <c r="A462" s="1">
        <v>44774</v>
      </c>
      <c r="B462" s="1" t="str">
        <f t="shared" si="14"/>
        <v>After 5G</v>
      </c>
      <c r="C462">
        <v>800008</v>
      </c>
      <c r="D462" t="str">
        <f t="shared" si="15"/>
        <v>Patna</v>
      </c>
      <c r="E462" t="s">
        <v>22</v>
      </c>
      <c r="F462">
        <v>0.73</v>
      </c>
    </row>
    <row r="463" spans="1:6">
      <c r="A463" s="1">
        <v>44774</v>
      </c>
      <c r="B463" s="1" t="str">
        <f t="shared" si="14"/>
        <v>After 5G</v>
      </c>
      <c r="C463">
        <v>641001</v>
      </c>
      <c r="D463" t="str">
        <f t="shared" si="15"/>
        <v>Coimbatore</v>
      </c>
      <c r="E463" t="s">
        <v>22</v>
      </c>
      <c r="F463">
        <v>0.81</v>
      </c>
    </row>
    <row r="464" spans="1:6">
      <c r="A464" s="1">
        <v>44774</v>
      </c>
      <c r="B464" s="1" t="str">
        <f t="shared" si="14"/>
        <v>After 5G</v>
      </c>
      <c r="C464">
        <v>160017</v>
      </c>
      <c r="D464" t="str">
        <f t="shared" si="15"/>
        <v>Chandigarh</v>
      </c>
      <c r="E464" t="s">
        <v>22</v>
      </c>
      <c r="F464">
        <v>0.44</v>
      </c>
    </row>
    <row r="465" spans="1:6">
      <c r="A465" s="1">
        <v>44774</v>
      </c>
      <c r="B465" s="1" t="str">
        <f t="shared" si="14"/>
        <v>After 5G</v>
      </c>
      <c r="C465">
        <v>122001</v>
      </c>
      <c r="D465" t="str">
        <f t="shared" si="15"/>
        <v>Gurgaon</v>
      </c>
      <c r="E465" t="s">
        <v>22</v>
      </c>
      <c r="F465">
        <v>0.28000000000000003</v>
      </c>
    </row>
    <row r="466" spans="1:6">
      <c r="A466" s="1">
        <v>44774</v>
      </c>
      <c r="B466" s="1" t="str">
        <f t="shared" si="14"/>
        <v>After 5G</v>
      </c>
      <c r="C466">
        <v>492001</v>
      </c>
      <c r="D466" t="str">
        <f t="shared" si="15"/>
        <v>Raipur</v>
      </c>
      <c r="E466" t="s">
        <v>22</v>
      </c>
      <c r="F466">
        <v>0.21</v>
      </c>
    </row>
    <row r="467" spans="1:6">
      <c r="A467" s="1">
        <v>44805</v>
      </c>
      <c r="B467" s="1" t="str">
        <f t="shared" si="14"/>
        <v>After 5G</v>
      </c>
      <c r="C467">
        <v>400001</v>
      </c>
      <c r="D467" t="str">
        <f t="shared" si="15"/>
        <v>Mumbai</v>
      </c>
      <c r="E467" t="s">
        <v>22</v>
      </c>
      <c r="F467">
        <v>3.09</v>
      </c>
    </row>
    <row r="468" spans="1:6">
      <c r="A468" s="1">
        <v>44805</v>
      </c>
      <c r="B468" s="1" t="str">
        <f t="shared" si="14"/>
        <v>After 5G</v>
      </c>
      <c r="C468">
        <v>110001</v>
      </c>
      <c r="D468" t="str">
        <f t="shared" si="15"/>
        <v>Delhi</v>
      </c>
      <c r="E468" t="s">
        <v>22</v>
      </c>
      <c r="F468">
        <v>2.84</v>
      </c>
    </row>
    <row r="469" spans="1:6">
      <c r="A469" s="1">
        <v>44805</v>
      </c>
      <c r="B469" s="1" t="str">
        <f t="shared" si="14"/>
        <v>After 5G</v>
      </c>
      <c r="C469">
        <v>700001</v>
      </c>
      <c r="D469" t="str">
        <f t="shared" si="15"/>
        <v>Kolkata</v>
      </c>
      <c r="E469" t="s">
        <v>22</v>
      </c>
      <c r="F469">
        <v>2.25</v>
      </c>
    </row>
    <row r="470" spans="1:6">
      <c r="A470" s="1">
        <v>44805</v>
      </c>
      <c r="B470" s="1" t="str">
        <f t="shared" si="14"/>
        <v>After 5G</v>
      </c>
      <c r="C470">
        <v>560001</v>
      </c>
      <c r="D470" t="str">
        <f t="shared" si="15"/>
        <v>Bangalore</v>
      </c>
      <c r="E470" t="s">
        <v>22</v>
      </c>
      <c r="F470">
        <v>2.37</v>
      </c>
    </row>
    <row r="471" spans="1:6">
      <c r="A471" s="1">
        <v>44805</v>
      </c>
      <c r="B471" s="1" t="str">
        <f t="shared" si="14"/>
        <v>After 5G</v>
      </c>
      <c r="C471">
        <v>600001</v>
      </c>
      <c r="D471" t="str">
        <f t="shared" si="15"/>
        <v>Chennai</v>
      </c>
      <c r="E471" t="s">
        <v>22</v>
      </c>
      <c r="F471">
        <v>1.7</v>
      </c>
    </row>
    <row r="472" spans="1:6">
      <c r="A472" s="1">
        <v>44805</v>
      </c>
      <c r="B472" s="1" t="str">
        <f t="shared" si="14"/>
        <v>After 5G</v>
      </c>
      <c r="C472">
        <v>500001</v>
      </c>
      <c r="D472" t="str">
        <f t="shared" si="15"/>
        <v>Hyderabad</v>
      </c>
      <c r="E472" t="s">
        <v>22</v>
      </c>
      <c r="F472">
        <v>1.31</v>
      </c>
    </row>
    <row r="473" spans="1:6">
      <c r="A473" s="1">
        <v>44805</v>
      </c>
      <c r="B473" s="1" t="str">
        <f t="shared" si="14"/>
        <v>After 5G</v>
      </c>
      <c r="C473">
        <v>411001</v>
      </c>
      <c r="D473" t="str">
        <f t="shared" si="15"/>
        <v>Pune</v>
      </c>
      <c r="E473" t="s">
        <v>22</v>
      </c>
      <c r="F473">
        <v>2.35</v>
      </c>
    </row>
    <row r="474" spans="1:6">
      <c r="A474" s="1">
        <v>44805</v>
      </c>
      <c r="B474" s="1" t="str">
        <f t="shared" si="14"/>
        <v>After 5G</v>
      </c>
      <c r="C474">
        <v>380001</v>
      </c>
      <c r="D474" t="str">
        <f t="shared" si="15"/>
        <v>Ahmedabad</v>
      </c>
      <c r="E474" t="s">
        <v>22</v>
      </c>
      <c r="F474">
        <v>1.3</v>
      </c>
    </row>
    <row r="475" spans="1:6">
      <c r="A475" s="1">
        <v>44805</v>
      </c>
      <c r="B475" s="1" t="str">
        <f t="shared" si="14"/>
        <v>After 5G</v>
      </c>
      <c r="C475">
        <v>302001</v>
      </c>
      <c r="D475" t="str">
        <f t="shared" si="15"/>
        <v>Jaipur</v>
      </c>
      <c r="E475" t="s">
        <v>22</v>
      </c>
      <c r="F475">
        <v>0.9</v>
      </c>
    </row>
    <row r="476" spans="1:6">
      <c r="A476" s="1">
        <v>44805</v>
      </c>
      <c r="B476" s="1" t="str">
        <f t="shared" si="14"/>
        <v>After 5G</v>
      </c>
      <c r="C476">
        <v>226001</v>
      </c>
      <c r="D476" t="str">
        <f t="shared" si="15"/>
        <v>Lucknow</v>
      </c>
      <c r="E476" t="s">
        <v>22</v>
      </c>
      <c r="F476">
        <v>0.74</v>
      </c>
    </row>
    <row r="477" spans="1:6">
      <c r="A477" s="1">
        <v>44805</v>
      </c>
      <c r="B477" s="1" t="str">
        <f t="shared" si="14"/>
        <v>After 5G</v>
      </c>
      <c r="C477">
        <v>800008</v>
      </c>
      <c r="D477" t="str">
        <f t="shared" si="15"/>
        <v>Patna</v>
      </c>
      <c r="E477" t="s">
        <v>22</v>
      </c>
      <c r="F477">
        <v>0.68</v>
      </c>
    </row>
    <row r="478" spans="1:6">
      <c r="A478" s="1">
        <v>44805</v>
      </c>
      <c r="B478" s="1" t="str">
        <f t="shared" si="14"/>
        <v>After 5G</v>
      </c>
      <c r="C478">
        <v>641001</v>
      </c>
      <c r="D478" t="str">
        <f t="shared" si="15"/>
        <v>Coimbatore</v>
      </c>
      <c r="E478" t="s">
        <v>22</v>
      </c>
      <c r="F478">
        <v>0.56999999999999995</v>
      </c>
    </row>
    <row r="479" spans="1:6">
      <c r="A479" s="1">
        <v>44805</v>
      </c>
      <c r="B479" s="1" t="str">
        <f t="shared" si="14"/>
        <v>After 5G</v>
      </c>
      <c r="C479">
        <v>160017</v>
      </c>
      <c r="D479" t="str">
        <f t="shared" si="15"/>
        <v>Chandigarh</v>
      </c>
      <c r="E479" t="s">
        <v>22</v>
      </c>
      <c r="F479">
        <v>0.5</v>
      </c>
    </row>
    <row r="480" spans="1:6">
      <c r="A480" s="1">
        <v>44805</v>
      </c>
      <c r="B480" s="1" t="str">
        <f t="shared" si="14"/>
        <v>After 5G</v>
      </c>
      <c r="C480">
        <v>122001</v>
      </c>
      <c r="D480" t="str">
        <f t="shared" si="15"/>
        <v>Gurgaon</v>
      </c>
      <c r="E480" t="s">
        <v>22</v>
      </c>
      <c r="F480">
        <v>0.33</v>
      </c>
    </row>
    <row r="481" spans="1:6">
      <c r="A481" s="1">
        <v>44805</v>
      </c>
      <c r="B481" s="1" t="str">
        <f t="shared" si="14"/>
        <v>After 5G</v>
      </c>
      <c r="C481">
        <v>492001</v>
      </c>
      <c r="D481" t="str">
        <f t="shared" si="15"/>
        <v>Raipur</v>
      </c>
      <c r="E481" t="s">
        <v>22</v>
      </c>
      <c r="F481">
        <v>0.24</v>
      </c>
    </row>
    <row r="482" spans="1:6">
      <c r="A482" s="1">
        <v>44562</v>
      </c>
      <c r="B482" s="1" t="str">
        <f t="shared" si="14"/>
        <v>Before 5G</v>
      </c>
      <c r="C482">
        <v>400001</v>
      </c>
      <c r="D482" t="str">
        <f t="shared" si="15"/>
        <v>Mumbai</v>
      </c>
      <c r="E482" t="s">
        <v>24</v>
      </c>
      <c r="F482">
        <v>3.13</v>
      </c>
    </row>
    <row r="483" spans="1:6">
      <c r="A483" s="1">
        <v>44562</v>
      </c>
      <c r="B483" s="1" t="str">
        <f t="shared" si="14"/>
        <v>Before 5G</v>
      </c>
      <c r="C483">
        <v>110001</v>
      </c>
      <c r="D483" t="str">
        <f t="shared" si="15"/>
        <v>Delhi</v>
      </c>
      <c r="E483" t="s">
        <v>24</v>
      </c>
      <c r="F483">
        <v>2.86</v>
      </c>
    </row>
    <row r="484" spans="1:6">
      <c r="A484" s="1">
        <v>44562</v>
      </c>
      <c r="B484" s="1" t="str">
        <f t="shared" si="14"/>
        <v>Before 5G</v>
      </c>
      <c r="C484">
        <v>700001</v>
      </c>
      <c r="D484" t="str">
        <f t="shared" si="15"/>
        <v>Kolkata</v>
      </c>
      <c r="E484" t="s">
        <v>24</v>
      </c>
      <c r="F484">
        <v>2.77</v>
      </c>
    </row>
    <row r="485" spans="1:6">
      <c r="A485" s="1">
        <v>44562</v>
      </c>
      <c r="B485" s="1" t="str">
        <f t="shared" si="14"/>
        <v>Before 5G</v>
      </c>
      <c r="C485">
        <v>560001</v>
      </c>
      <c r="D485" t="str">
        <f t="shared" si="15"/>
        <v>Bangalore</v>
      </c>
      <c r="E485" t="s">
        <v>24</v>
      </c>
      <c r="F485">
        <v>2.13</v>
      </c>
    </row>
    <row r="486" spans="1:6">
      <c r="A486" s="1">
        <v>44562</v>
      </c>
      <c r="B486" s="1" t="str">
        <f t="shared" si="14"/>
        <v>Before 5G</v>
      </c>
      <c r="C486">
        <v>600001</v>
      </c>
      <c r="D486" t="str">
        <f t="shared" si="15"/>
        <v>Chennai</v>
      </c>
      <c r="E486" t="s">
        <v>24</v>
      </c>
      <c r="F486">
        <v>1.85</v>
      </c>
    </row>
    <row r="487" spans="1:6">
      <c r="A487" s="1">
        <v>44562</v>
      </c>
      <c r="B487" s="1" t="str">
        <f t="shared" si="14"/>
        <v>Before 5G</v>
      </c>
      <c r="C487">
        <v>500001</v>
      </c>
      <c r="D487" t="str">
        <f t="shared" si="15"/>
        <v>Hyderabad</v>
      </c>
      <c r="E487" t="s">
        <v>24</v>
      </c>
      <c r="F487">
        <v>1.59</v>
      </c>
    </row>
    <row r="488" spans="1:6">
      <c r="A488" s="1">
        <v>44562</v>
      </c>
      <c r="B488" s="1" t="str">
        <f t="shared" si="14"/>
        <v>Before 5G</v>
      </c>
      <c r="C488">
        <v>411001</v>
      </c>
      <c r="D488" t="str">
        <f t="shared" si="15"/>
        <v>Pune</v>
      </c>
      <c r="E488" t="s">
        <v>24</v>
      </c>
      <c r="F488">
        <v>1.32</v>
      </c>
    </row>
    <row r="489" spans="1:6">
      <c r="A489" s="1">
        <v>44562</v>
      </c>
      <c r="B489" s="1" t="str">
        <f t="shared" si="14"/>
        <v>Before 5G</v>
      </c>
      <c r="C489">
        <v>380001</v>
      </c>
      <c r="D489" t="str">
        <f t="shared" si="15"/>
        <v>Ahmedabad</v>
      </c>
      <c r="E489" t="s">
        <v>24</v>
      </c>
      <c r="F489">
        <v>1.37</v>
      </c>
    </row>
    <row r="490" spans="1:6">
      <c r="A490" s="1">
        <v>44562</v>
      </c>
      <c r="B490" s="1" t="str">
        <f t="shared" si="14"/>
        <v>Before 5G</v>
      </c>
      <c r="C490">
        <v>302001</v>
      </c>
      <c r="D490" t="str">
        <f t="shared" si="15"/>
        <v>Jaipur</v>
      </c>
      <c r="E490" t="s">
        <v>24</v>
      </c>
      <c r="F490">
        <v>1.3</v>
      </c>
    </row>
    <row r="491" spans="1:6">
      <c r="A491" s="1">
        <v>44562</v>
      </c>
      <c r="B491" s="1" t="str">
        <f t="shared" si="14"/>
        <v>Before 5G</v>
      </c>
      <c r="C491">
        <v>226001</v>
      </c>
      <c r="D491" t="str">
        <f t="shared" si="15"/>
        <v>Lucknow</v>
      </c>
      <c r="E491" t="s">
        <v>24</v>
      </c>
      <c r="F491">
        <v>0.8</v>
      </c>
    </row>
    <row r="492" spans="1:6">
      <c r="A492" s="1">
        <v>44562</v>
      </c>
      <c r="B492" s="1" t="str">
        <f t="shared" si="14"/>
        <v>Before 5G</v>
      </c>
      <c r="C492">
        <v>800008</v>
      </c>
      <c r="D492" t="str">
        <f t="shared" si="15"/>
        <v>Patna</v>
      </c>
      <c r="E492" t="s">
        <v>24</v>
      </c>
      <c r="F492">
        <v>1</v>
      </c>
    </row>
    <row r="493" spans="1:6">
      <c r="A493" s="1">
        <v>44562</v>
      </c>
      <c r="B493" s="1" t="str">
        <f t="shared" si="14"/>
        <v>Before 5G</v>
      </c>
      <c r="C493">
        <v>641001</v>
      </c>
      <c r="D493" t="str">
        <f t="shared" si="15"/>
        <v>Coimbatore</v>
      </c>
      <c r="E493" t="s">
        <v>24</v>
      </c>
      <c r="F493">
        <v>0.45</v>
      </c>
    </row>
    <row r="494" spans="1:6">
      <c r="A494" s="1">
        <v>44562</v>
      </c>
      <c r="B494" s="1" t="str">
        <f t="shared" si="14"/>
        <v>Before 5G</v>
      </c>
      <c r="C494">
        <v>160017</v>
      </c>
      <c r="D494" t="str">
        <f t="shared" si="15"/>
        <v>Chandigarh</v>
      </c>
      <c r="E494" t="s">
        <v>24</v>
      </c>
      <c r="F494">
        <v>0.41</v>
      </c>
    </row>
    <row r="495" spans="1:6">
      <c r="A495" s="1">
        <v>44562</v>
      </c>
      <c r="B495" s="1" t="str">
        <f t="shared" si="14"/>
        <v>Before 5G</v>
      </c>
      <c r="C495">
        <v>122001</v>
      </c>
      <c r="D495" t="str">
        <f t="shared" si="15"/>
        <v>Gurgaon</v>
      </c>
      <c r="E495" t="s">
        <v>24</v>
      </c>
      <c r="F495">
        <v>0.31</v>
      </c>
    </row>
    <row r="496" spans="1:6">
      <c r="A496" s="1">
        <v>44562</v>
      </c>
      <c r="B496" s="1" t="str">
        <f t="shared" si="14"/>
        <v>Before 5G</v>
      </c>
      <c r="C496">
        <v>492001</v>
      </c>
      <c r="D496" t="str">
        <f t="shared" si="15"/>
        <v>Raipur</v>
      </c>
      <c r="E496" t="s">
        <v>24</v>
      </c>
      <c r="F496">
        <v>0.26</v>
      </c>
    </row>
    <row r="497" spans="1:6">
      <c r="A497" s="1">
        <v>44593</v>
      </c>
      <c r="B497" s="1" t="str">
        <f t="shared" si="14"/>
        <v>Before 5G</v>
      </c>
      <c r="C497">
        <v>400001</v>
      </c>
      <c r="D497" t="str">
        <f t="shared" si="15"/>
        <v>Mumbai</v>
      </c>
      <c r="E497" t="s">
        <v>24</v>
      </c>
      <c r="F497">
        <v>4.03</v>
      </c>
    </row>
    <row r="498" spans="1:6">
      <c r="A498" s="1">
        <v>44593</v>
      </c>
      <c r="B498" s="1" t="str">
        <f t="shared" si="14"/>
        <v>Before 5G</v>
      </c>
      <c r="C498">
        <v>110001</v>
      </c>
      <c r="D498" t="str">
        <f t="shared" si="15"/>
        <v>Delhi</v>
      </c>
      <c r="E498" t="s">
        <v>24</v>
      </c>
      <c r="F498">
        <v>2.8</v>
      </c>
    </row>
    <row r="499" spans="1:6">
      <c r="A499" s="1">
        <v>44593</v>
      </c>
      <c r="B499" s="1" t="str">
        <f t="shared" si="14"/>
        <v>Before 5G</v>
      </c>
      <c r="C499">
        <v>700001</v>
      </c>
      <c r="D499" t="str">
        <f t="shared" si="15"/>
        <v>Kolkata</v>
      </c>
      <c r="E499" t="s">
        <v>24</v>
      </c>
      <c r="F499">
        <v>3.06</v>
      </c>
    </row>
    <row r="500" spans="1:6">
      <c r="A500" s="1">
        <v>44593</v>
      </c>
      <c r="B500" s="1" t="str">
        <f t="shared" si="14"/>
        <v>Before 5G</v>
      </c>
      <c r="C500">
        <v>560001</v>
      </c>
      <c r="D500" t="str">
        <f t="shared" si="15"/>
        <v>Bangalore</v>
      </c>
      <c r="E500" t="s">
        <v>24</v>
      </c>
      <c r="F500">
        <v>3.35</v>
      </c>
    </row>
    <row r="501" spans="1:6">
      <c r="A501" s="1">
        <v>44593</v>
      </c>
      <c r="B501" s="1" t="str">
        <f t="shared" si="14"/>
        <v>Before 5G</v>
      </c>
      <c r="C501">
        <v>600001</v>
      </c>
      <c r="D501" t="str">
        <f t="shared" si="15"/>
        <v>Chennai</v>
      </c>
      <c r="E501" t="s">
        <v>24</v>
      </c>
      <c r="F501">
        <v>4.47</v>
      </c>
    </row>
    <row r="502" spans="1:6">
      <c r="A502" s="1">
        <v>44593</v>
      </c>
      <c r="B502" s="1" t="str">
        <f t="shared" si="14"/>
        <v>Before 5G</v>
      </c>
      <c r="C502">
        <v>500001</v>
      </c>
      <c r="D502" t="str">
        <f t="shared" si="15"/>
        <v>Hyderabad</v>
      </c>
      <c r="E502" t="s">
        <v>24</v>
      </c>
      <c r="F502">
        <v>2.31</v>
      </c>
    </row>
    <row r="503" spans="1:6">
      <c r="A503" s="1">
        <v>44593</v>
      </c>
      <c r="B503" s="1" t="str">
        <f t="shared" si="14"/>
        <v>Before 5G</v>
      </c>
      <c r="C503">
        <v>411001</v>
      </c>
      <c r="D503" t="str">
        <f t="shared" si="15"/>
        <v>Pune</v>
      </c>
      <c r="E503" t="s">
        <v>24</v>
      </c>
      <c r="F503">
        <v>1.97</v>
      </c>
    </row>
    <row r="504" spans="1:6">
      <c r="A504" s="1">
        <v>44593</v>
      </c>
      <c r="B504" s="1" t="str">
        <f t="shared" si="14"/>
        <v>Before 5G</v>
      </c>
      <c r="C504">
        <v>380001</v>
      </c>
      <c r="D504" t="str">
        <f t="shared" si="15"/>
        <v>Ahmedabad</v>
      </c>
      <c r="E504" t="s">
        <v>24</v>
      </c>
      <c r="F504">
        <v>1.26</v>
      </c>
    </row>
    <row r="505" spans="1:6">
      <c r="A505" s="1">
        <v>44593</v>
      </c>
      <c r="B505" s="1" t="str">
        <f t="shared" si="14"/>
        <v>Before 5G</v>
      </c>
      <c r="C505">
        <v>302001</v>
      </c>
      <c r="D505" t="str">
        <f t="shared" si="15"/>
        <v>Jaipur</v>
      </c>
      <c r="E505" t="s">
        <v>24</v>
      </c>
      <c r="F505">
        <v>0.86</v>
      </c>
    </row>
    <row r="506" spans="1:6">
      <c r="A506" s="1">
        <v>44593</v>
      </c>
      <c r="B506" s="1" t="str">
        <f t="shared" si="14"/>
        <v>Before 5G</v>
      </c>
      <c r="C506">
        <v>226001</v>
      </c>
      <c r="D506" t="str">
        <f t="shared" si="15"/>
        <v>Lucknow</v>
      </c>
      <c r="E506" t="s">
        <v>24</v>
      </c>
      <c r="F506">
        <v>1.86</v>
      </c>
    </row>
    <row r="507" spans="1:6">
      <c r="A507" s="1">
        <v>44593</v>
      </c>
      <c r="B507" s="1" t="str">
        <f t="shared" si="14"/>
        <v>Before 5G</v>
      </c>
      <c r="C507">
        <v>800008</v>
      </c>
      <c r="D507" t="str">
        <f t="shared" si="15"/>
        <v>Patna</v>
      </c>
      <c r="E507" t="s">
        <v>24</v>
      </c>
      <c r="F507">
        <v>0.76</v>
      </c>
    </row>
    <row r="508" spans="1:6">
      <c r="A508" s="1">
        <v>44593</v>
      </c>
      <c r="B508" s="1" t="str">
        <f t="shared" si="14"/>
        <v>Before 5G</v>
      </c>
      <c r="C508">
        <v>641001</v>
      </c>
      <c r="D508" t="str">
        <f t="shared" si="15"/>
        <v>Coimbatore</v>
      </c>
      <c r="E508" t="s">
        <v>24</v>
      </c>
      <c r="F508">
        <v>0.66</v>
      </c>
    </row>
    <row r="509" spans="1:6">
      <c r="A509" s="1">
        <v>44593</v>
      </c>
      <c r="B509" s="1" t="str">
        <f t="shared" si="14"/>
        <v>Before 5G</v>
      </c>
      <c r="C509">
        <v>160017</v>
      </c>
      <c r="D509" t="str">
        <f t="shared" si="15"/>
        <v>Chandigarh</v>
      </c>
      <c r="E509" t="s">
        <v>24</v>
      </c>
      <c r="F509">
        <v>0.34</v>
      </c>
    </row>
    <row r="510" spans="1:6">
      <c r="A510" s="1">
        <v>44593</v>
      </c>
      <c r="B510" s="1" t="str">
        <f t="shared" si="14"/>
        <v>Before 5G</v>
      </c>
      <c r="C510">
        <v>122001</v>
      </c>
      <c r="D510" t="str">
        <f t="shared" si="15"/>
        <v>Gurgaon</v>
      </c>
      <c r="E510" t="s">
        <v>24</v>
      </c>
      <c r="F510">
        <v>0.5</v>
      </c>
    </row>
    <row r="511" spans="1:6">
      <c r="A511" s="1">
        <v>44593</v>
      </c>
      <c r="B511" s="1" t="str">
        <f t="shared" si="14"/>
        <v>Before 5G</v>
      </c>
      <c r="C511">
        <v>492001</v>
      </c>
      <c r="D511" t="str">
        <f t="shared" si="15"/>
        <v>Raipur</v>
      </c>
      <c r="E511" t="s">
        <v>24</v>
      </c>
      <c r="F511">
        <v>0.3</v>
      </c>
    </row>
    <row r="512" spans="1:6">
      <c r="A512" s="1">
        <v>44621</v>
      </c>
      <c r="B512" s="1" t="str">
        <f t="shared" si="14"/>
        <v>Before 5G</v>
      </c>
      <c r="C512">
        <v>400001</v>
      </c>
      <c r="D512" t="str">
        <f t="shared" si="15"/>
        <v>Mumbai</v>
      </c>
      <c r="E512" t="s">
        <v>24</v>
      </c>
      <c r="F512">
        <v>3.29</v>
      </c>
    </row>
    <row r="513" spans="1:6">
      <c r="A513" s="1">
        <v>44621</v>
      </c>
      <c r="B513" s="1" t="str">
        <f t="shared" si="14"/>
        <v>Before 5G</v>
      </c>
      <c r="C513">
        <v>110001</v>
      </c>
      <c r="D513" t="str">
        <f t="shared" si="15"/>
        <v>Delhi</v>
      </c>
      <c r="E513" t="s">
        <v>24</v>
      </c>
      <c r="F513">
        <v>3.25</v>
      </c>
    </row>
    <row r="514" spans="1:6">
      <c r="A514" s="1">
        <v>44621</v>
      </c>
      <c r="B514" s="1" t="str">
        <f t="shared" si="14"/>
        <v>Before 5G</v>
      </c>
      <c r="C514">
        <v>700001</v>
      </c>
      <c r="D514" t="str">
        <f t="shared" si="15"/>
        <v>Kolkata</v>
      </c>
      <c r="E514" t="s">
        <v>24</v>
      </c>
      <c r="F514">
        <v>4.21</v>
      </c>
    </row>
    <row r="515" spans="1:6">
      <c r="A515" s="1">
        <v>44621</v>
      </c>
      <c r="B515" s="1" t="str">
        <f t="shared" ref="B515:B578" si="16">VLOOKUP(A515,$H$2:$K$9,3,FALSE)</f>
        <v>Before 5G</v>
      </c>
      <c r="C515">
        <v>560001</v>
      </c>
      <c r="D515" t="str">
        <f t="shared" ref="D515:D578" si="17">VLOOKUP(C515,$M$2:$N$16,2,FALSE)</f>
        <v>Bangalore</v>
      </c>
      <c r="E515" t="s">
        <v>24</v>
      </c>
      <c r="F515">
        <v>2.8</v>
      </c>
    </row>
    <row r="516" spans="1:6">
      <c r="A516" s="1">
        <v>44621</v>
      </c>
      <c r="B516" s="1" t="str">
        <f t="shared" si="16"/>
        <v>Before 5G</v>
      </c>
      <c r="C516">
        <v>600001</v>
      </c>
      <c r="D516" t="str">
        <f t="shared" si="17"/>
        <v>Chennai</v>
      </c>
      <c r="E516" t="s">
        <v>24</v>
      </c>
      <c r="F516">
        <v>1.67</v>
      </c>
    </row>
    <row r="517" spans="1:6">
      <c r="A517" s="1">
        <v>44621</v>
      </c>
      <c r="B517" s="1" t="str">
        <f t="shared" si="16"/>
        <v>Before 5G</v>
      </c>
      <c r="C517">
        <v>500001</v>
      </c>
      <c r="D517" t="str">
        <f t="shared" si="17"/>
        <v>Hyderabad</v>
      </c>
      <c r="E517" t="s">
        <v>24</v>
      </c>
      <c r="F517">
        <v>1.83</v>
      </c>
    </row>
    <row r="518" spans="1:6">
      <c r="A518" s="1">
        <v>44621</v>
      </c>
      <c r="B518" s="1" t="str">
        <f t="shared" si="16"/>
        <v>Before 5G</v>
      </c>
      <c r="C518">
        <v>411001</v>
      </c>
      <c r="D518" t="str">
        <f t="shared" si="17"/>
        <v>Pune</v>
      </c>
      <c r="E518" t="s">
        <v>24</v>
      </c>
      <c r="F518">
        <v>2.2000000000000002</v>
      </c>
    </row>
    <row r="519" spans="1:6">
      <c r="A519" s="1">
        <v>44621</v>
      </c>
      <c r="B519" s="1" t="str">
        <f t="shared" si="16"/>
        <v>Before 5G</v>
      </c>
      <c r="C519">
        <v>380001</v>
      </c>
      <c r="D519" t="str">
        <f t="shared" si="17"/>
        <v>Ahmedabad</v>
      </c>
      <c r="E519" t="s">
        <v>24</v>
      </c>
      <c r="F519">
        <v>1.64</v>
      </c>
    </row>
    <row r="520" spans="1:6">
      <c r="A520" s="1">
        <v>44621</v>
      </c>
      <c r="B520" s="1" t="str">
        <f t="shared" si="16"/>
        <v>Before 5G</v>
      </c>
      <c r="C520">
        <v>302001</v>
      </c>
      <c r="D520" t="str">
        <f t="shared" si="17"/>
        <v>Jaipur</v>
      </c>
      <c r="E520" t="s">
        <v>24</v>
      </c>
      <c r="F520">
        <v>1.05</v>
      </c>
    </row>
    <row r="521" spans="1:6">
      <c r="A521" s="1">
        <v>44621</v>
      </c>
      <c r="B521" s="1" t="str">
        <f t="shared" si="16"/>
        <v>Before 5G</v>
      </c>
      <c r="C521">
        <v>226001</v>
      </c>
      <c r="D521" t="str">
        <f t="shared" si="17"/>
        <v>Lucknow</v>
      </c>
      <c r="E521" t="s">
        <v>24</v>
      </c>
      <c r="F521">
        <v>0.85</v>
      </c>
    </row>
    <row r="522" spans="1:6">
      <c r="A522" s="1">
        <v>44621</v>
      </c>
      <c r="B522" s="1" t="str">
        <f t="shared" si="16"/>
        <v>Before 5G</v>
      </c>
      <c r="C522">
        <v>800008</v>
      </c>
      <c r="D522" t="str">
        <f t="shared" si="17"/>
        <v>Patna</v>
      </c>
      <c r="E522" t="s">
        <v>24</v>
      </c>
      <c r="F522">
        <v>0.62</v>
      </c>
    </row>
    <row r="523" spans="1:6">
      <c r="A523" s="1">
        <v>44621</v>
      </c>
      <c r="B523" s="1" t="str">
        <f t="shared" si="16"/>
        <v>Before 5G</v>
      </c>
      <c r="C523">
        <v>641001</v>
      </c>
      <c r="D523" t="str">
        <f t="shared" si="17"/>
        <v>Coimbatore</v>
      </c>
      <c r="E523" t="s">
        <v>24</v>
      </c>
      <c r="F523">
        <v>1.25</v>
      </c>
    </row>
    <row r="524" spans="1:6">
      <c r="A524" s="1">
        <v>44621</v>
      </c>
      <c r="B524" s="1" t="str">
        <f t="shared" si="16"/>
        <v>Before 5G</v>
      </c>
      <c r="C524">
        <v>160017</v>
      </c>
      <c r="D524" t="str">
        <f t="shared" si="17"/>
        <v>Chandigarh</v>
      </c>
      <c r="E524" t="s">
        <v>24</v>
      </c>
      <c r="F524">
        <v>0.56999999999999995</v>
      </c>
    </row>
    <row r="525" spans="1:6">
      <c r="A525" s="1">
        <v>44621</v>
      </c>
      <c r="B525" s="1" t="str">
        <f t="shared" si="16"/>
        <v>Before 5G</v>
      </c>
      <c r="C525">
        <v>122001</v>
      </c>
      <c r="D525" t="str">
        <f t="shared" si="17"/>
        <v>Gurgaon</v>
      </c>
      <c r="E525" t="s">
        <v>24</v>
      </c>
      <c r="F525">
        <v>0.36</v>
      </c>
    </row>
    <row r="526" spans="1:6">
      <c r="A526" s="1">
        <v>44621</v>
      </c>
      <c r="B526" s="1" t="str">
        <f t="shared" si="16"/>
        <v>Before 5G</v>
      </c>
      <c r="C526">
        <v>492001</v>
      </c>
      <c r="D526" t="str">
        <f t="shared" si="17"/>
        <v>Raipur</v>
      </c>
      <c r="E526" t="s">
        <v>24</v>
      </c>
      <c r="F526">
        <v>0.24</v>
      </c>
    </row>
    <row r="527" spans="1:6">
      <c r="A527" s="1">
        <v>44652</v>
      </c>
      <c r="B527" s="1" t="str">
        <f t="shared" si="16"/>
        <v>Before 5G</v>
      </c>
      <c r="C527">
        <v>400001</v>
      </c>
      <c r="D527" t="str">
        <f t="shared" si="17"/>
        <v>Mumbai</v>
      </c>
      <c r="E527" t="s">
        <v>24</v>
      </c>
      <c r="F527">
        <v>3.22</v>
      </c>
    </row>
    <row r="528" spans="1:6">
      <c r="A528" s="1">
        <v>44652</v>
      </c>
      <c r="B528" s="1" t="str">
        <f t="shared" si="16"/>
        <v>Before 5G</v>
      </c>
      <c r="C528">
        <v>110001</v>
      </c>
      <c r="D528" t="str">
        <f t="shared" si="17"/>
        <v>Delhi</v>
      </c>
      <c r="E528" t="s">
        <v>24</v>
      </c>
      <c r="F528">
        <v>2.6</v>
      </c>
    </row>
    <row r="529" spans="1:6">
      <c r="A529" s="1">
        <v>44652</v>
      </c>
      <c r="B529" s="1" t="str">
        <f t="shared" si="16"/>
        <v>Before 5G</v>
      </c>
      <c r="C529">
        <v>700001</v>
      </c>
      <c r="D529" t="str">
        <f t="shared" si="17"/>
        <v>Kolkata</v>
      </c>
      <c r="E529" t="s">
        <v>24</v>
      </c>
      <c r="F529">
        <v>2.76</v>
      </c>
    </row>
    <row r="530" spans="1:6">
      <c r="A530" s="1">
        <v>44652</v>
      </c>
      <c r="B530" s="1" t="str">
        <f t="shared" si="16"/>
        <v>Before 5G</v>
      </c>
      <c r="C530">
        <v>560001</v>
      </c>
      <c r="D530" t="str">
        <f t="shared" si="17"/>
        <v>Bangalore</v>
      </c>
      <c r="E530" t="s">
        <v>24</v>
      </c>
      <c r="F530">
        <v>3.02</v>
      </c>
    </row>
    <row r="531" spans="1:6">
      <c r="A531" s="1">
        <v>44652</v>
      </c>
      <c r="B531" s="1" t="str">
        <f t="shared" si="16"/>
        <v>Before 5G</v>
      </c>
      <c r="C531">
        <v>600001</v>
      </c>
      <c r="D531" t="str">
        <f t="shared" si="17"/>
        <v>Chennai</v>
      </c>
      <c r="E531" t="s">
        <v>24</v>
      </c>
      <c r="F531">
        <v>2.33</v>
      </c>
    </row>
    <row r="532" spans="1:6">
      <c r="A532" s="1">
        <v>44652</v>
      </c>
      <c r="B532" s="1" t="str">
        <f t="shared" si="16"/>
        <v>Before 5G</v>
      </c>
      <c r="C532">
        <v>500001</v>
      </c>
      <c r="D532" t="str">
        <f t="shared" si="17"/>
        <v>Hyderabad</v>
      </c>
      <c r="E532" t="s">
        <v>24</v>
      </c>
      <c r="F532">
        <v>1.35</v>
      </c>
    </row>
    <row r="533" spans="1:6">
      <c r="A533" s="1">
        <v>44652</v>
      </c>
      <c r="B533" s="1" t="str">
        <f t="shared" si="16"/>
        <v>Before 5G</v>
      </c>
      <c r="C533">
        <v>411001</v>
      </c>
      <c r="D533" t="str">
        <f t="shared" si="17"/>
        <v>Pune</v>
      </c>
      <c r="E533" t="s">
        <v>24</v>
      </c>
      <c r="F533">
        <v>3.41</v>
      </c>
    </row>
    <row r="534" spans="1:6">
      <c r="A534" s="1">
        <v>44652</v>
      </c>
      <c r="B534" s="1" t="str">
        <f t="shared" si="16"/>
        <v>Before 5G</v>
      </c>
      <c r="C534">
        <v>380001</v>
      </c>
      <c r="D534" t="str">
        <f t="shared" si="17"/>
        <v>Ahmedabad</v>
      </c>
      <c r="E534" t="s">
        <v>24</v>
      </c>
      <c r="F534">
        <v>1.59</v>
      </c>
    </row>
    <row r="535" spans="1:6">
      <c r="A535" s="1">
        <v>44652</v>
      </c>
      <c r="B535" s="1" t="str">
        <f t="shared" si="16"/>
        <v>Before 5G</v>
      </c>
      <c r="C535">
        <v>302001</v>
      </c>
      <c r="D535" t="str">
        <f t="shared" si="17"/>
        <v>Jaipur</v>
      </c>
      <c r="E535" t="s">
        <v>24</v>
      </c>
      <c r="F535">
        <v>0.84</v>
      </c>
    </row>
    <row r="536" spans="1:6">
      <c r="A536" s="1">
        <v>44652</v>
      </c>
      <c r="B536" s="1" t="str">
        <f t="shared" si="16"/>
        <v>Before 5G</v>
      </c>
      <c r="C536">
        <v>226001</v>
      </c>
      <c r="D536" t="str">
        <f t="shared" si="17"/>
        <v>Lucknow</v>
      </c>
      <c r="E536" t="s">
        <v>24</v>
      </c>
      <c r="F536">
        <v>0.85</v>
      </c>
    </row>
    <row r="537" spans="1:6">
      <c r="A537" s="1">
        <v>44652</v>
      </c>
      <c r="B537" s="1" t="str">
        <f t="shared" si="16"/>
        <v>Before 5G</v>
      </c>
      <c r="C537">
        <v>800008</v>
      </c>
      <c r="D537" t="str">
        <f t="shared" si="17"/>
        <v>Patna</v>
      </c>
      <c r="E537" t="s">
        <v>24</v>
      </c>
      <c r="F537">
        <v>0.78</v>
      </c>
    </row>
    <row r="538" spans="1:6">
      <c r="A538" s="1">
        <v>44652</v>
      </c>
      <c r="B538" s="1" t="str">
        <f t="shared" si="16"/>
        <v>Before 5G</v>
      </c>
      <c r="C538">
        <v>641001</v>
      </c>
      <c r="D538" t="str">
        <f t="shared" si="17"/>
        <v>Coimbatore</v>
      </c>
      <c r="E538" t="s">
        <v>24</v>
      </c>
      <c r="F538">
        <v>0.56999999999999995</v>
      </c>
    </row>
    <row r="539" spans="1:6">
      <c r="A539" s="1">
        <v>44652</v>
      </c>
      <c r="B539" s="1" t="str">
        <f t="shared" si="16"/>
        <v>Before 5G</v>
      </c>
      <c r="C539">
        <v>160017</v>
      </c>
      <c r="D539" t="str">
        <f t="shared" si="17"/>
        <v>Chandigarh</v>
      </c>
      <c r="E539" t="s">
        <v>24</v>
      </c>
      <c r="F539">
        <v>0.65</v>
      </c>
    </row>
    <row r="540" spans="1:6">
      <c r="A540" s="1">
        <v>44652</v>
      </c>
      <c r="B540" s="1" t="str">
        <f t="shared" si="16"/>
        <v>Before 5G</v>
      </c>
      <c r="C540">
        <v>122001</v>
      </c>
      <c r="D540" t="str">
        <f t="shared" si="17"/>
        <v>Gurgaon</v>
      </c>
      <c r="E540" t="s">
        <v>24</v>
      </c>
      <c r="F540">
        <v>0.34</v>
      </c>
    </row>
    <row r="541" spans="1:6">
      <c r="A541" s="1">
        <v>44652</v>
      </c>
      <c r="B541" s="1" t="str">
        <f t="shared" si="16"/>
        <v>Before 5G</v>
      </c>
      <c r="C541">
        <v>492001</v>
      </c>
      <c r="D541" t="str">
        <f t="shared" si="17"/>
        <v>Raipur</v>
      </c>
      <c r="E541" t="s">
        <v>24</v>
      </c>
      <c r="F541">
        <v>0.24</v>
      </c>
    </row>
    <row r="542" spans="1:6">
      <c r="A542" s="1">
        <v>44713</v>
      </c>
      <c r="B542" s="1" t="str">
        <f t="shared" si="16"/>
        <v>After 5G</v>
      </c>
      <c r="C542">
        <v>400001</v>
      </c>
      <c r="D542" t="str">
        <f t="shared" si="17"/>
        <v>Mumbai</v>
      </c>
      <c r="E542" t="s">
        <v>24</v>
      </c>
      <c r="F542">
        <v>2.85</v>
      </c>
    </row>
    <row r="543" spans="1:6">
      <c r="A543" s="1">
        <v>44713</v>
      </c>
      <c r="B543" s="1" t="str">
        <f t="shared" si="16"/>
        <v>After 5G</v>
      </c>
      <c r="C543">
        <v>110001</v>
      </c>
      <c r="D543" t="str">
        <f t="shared" si="17"/>
        <v>Delhi</v>
      </c>
      <c r="E543" t="s">
        <v>24</v>
      </c>
      <c r="F543">
        <v>1.62</v>
      </c>
    </row>
    <row r="544" spans="1:6">
      <c r="A544" s="1">
        <v>44713</v>
      </c>
      <c r="B544" s="1" t="str">
        <f t="shared" si="16"/>
        <v>After 5G</v>
      </c>
      <c r="C544">
        <v>700001</v>
      </c>
      <c r="D544" t="str">
        <f t="shared" si="17"/>
        <v>Kolkata</v>
      </c>
      <c r="E544" t="s">
        <v>24</v>
      </c>
      <c r="F544">
        <v>1.34</v>
      </c>
    </row>
    <row r="545" spans="1:6">
      <c r="A545" s="1">
        <v>44713</v>
      </c>
      <c r="B545" s="1" t="str">
        <f t="shared" si="16"/>
        <v>After 5G</v>
      </c>
      <c r="C545">
        <v>560001</v>
      </c>
      <c r="D545" t="str">
        <f t="shared" si="17"/>
        <v>Bangalore</v>
      </c>
      <c r="E545" t="s">
        <v>24</v>
      </c>
      <c r="F545">
        <v>1.77</v>
      </c>
    </row>
    <row r="546" spans="1:6">
      <c r="A546" s="1">
        <v>44713</v>
      </c>
      <c r="B546" s="1" t="str">
        <f t="shared" si="16"/>
        <v>After 5G</v>
      </c>
      <c r="C546">
        <v>600001</v>
      </c>
      <c r="D546" t="str">
        <f t="shared" si="17"/>
        <v>Chennai</v>
      </c>
      <c r="E546" t="s">
        <v>24</v>
      </c>
      <c r="F546">
        <v>1.32</v>
      </c>
    </row>
    <row r="547" spans="1:6">
      <c r="A547" s="1">
        <v>44713</v>
      </c>
      <c r="B547" s="1" t="str">
        <f t="shared" si="16"/>
        <v>After 5G</v>
      </c>
      <c r="C547">
        <v>500001</v>
      </c>
      <c r="D547" t="str">
        <f t="shared" si="17"/>
        <v>Hyderabad</v>
      </c>
      <c r="E547" t="s">
        <v>24</v>
      </c>
      <c r="F547">
        <v>1.21</v>
      </c>
    </row>
    <row r="548" spans="1:6">
      <c r="A548" s="1">
        <v>44713</v>
      </c>
      <c r="B548" s="1" t="str">
        <f t="shared" si="16"/>
        <v>After 5G</v>
      </c>
      <c r="C548">
        <v>411001</v>
      </c>
      <c r="D548" t="str">
        <f t="shared" si="17"/>
        <v>Pune</v>
      </c>
      <c r="E548" t="s">
        <v>24</v>
      </c>
      <c r="F548">
        <v>0.81</v>
      </c>
    </row>
    <row r="549" spans="1:6">
      <c r="A549" s="1">
        <v>44713</v>
      </c>
      <c r="B549" s="1" t="str">
        <f t="shared" si="16"/>
        <v>After 5G</v>
      </c>
      <c r="C549">
        <v>380001</v>
      </c>
      <c r="D549" t="str">
        <f t="shared" si="17"/>
        <v>Ahmedabad</v>
      </c>
      <c r="E549" t="s">
        <v>24</v>
      </c>
      <c r="F549">
        <v>0.81</v>
      </c>
    </row>
    <row r="550" spans="1:6">
      <c r="A550" s="1">
        <v>44713</v>
      </c>
      <c r="B550" s="1" t="str">
        <f t="shared" si="16"/>
        <v>After 5G</v>
      </c>
      <c r="C550">
        <v>302001</v>
      </c>
      <c r="D550" t="str">
        <f t="shared" si="17"/>
        <v>Jaipur</v>
      </c>
      <c r="E550" t="s">
        <v>24</v>
      </c>
      <c r="F550">
        <v>0.73</v>
      </c>
    </row>
    <row r="551" spans="1:6">
      <c r="A551" s="1">
        <v>44713</v>
      </c>
      <c r="B551" s="1" t="str">
        <f t="shared" si="16"/>
        <v>After 5G</v>
      </c>
      <c r="C551">
        <v>226001</v>
      </c>
      <c r="D551" t="str">
        <f t="shared" si="17"/>
        <v>Lucknow</v>
      </c>
      <c r="E551" t="s">
        <v>24</v>
      </c>
      <c r="F551">
        <v>0.41</v>
      </c>
    </row>
    <row r="552" spans="1:6">
      <c r="A552" s="1">
        <v>44713</v>
      </c>
      <c r="B552" s="1" t="str">
        <f t="shared" si="16"/>
        <v>After 5G</v>
      </c>
      <c r="C552">
        <v>800008</v>
      </c>
      <c r="D552" t="str">
        <f t="shared" si="17"/>
        <v>Patna</v>
      </c>
      <c r="E552" t="s">
        <v>24</v>
      </c>
      <c r="F552">
        <v>0.59</v>
      </c>
    </row>
    <row r="553" spans="1:6">
      <c r="A553" s="1">
        <v>44713</v>
      </c>
      <c r="B553" s="1" t="str">
        <f t="shared" si="16"/>
        <v>After 5G</v>
      </c>
      <c r="C553">
        <v>641001</v>
      </c>
      <c r="D553" t="str">
        <f t="shared" si="17"/>
        <v>Coimbatore</v>
      </c>
      <c r="E553" t="s">
        <v>24</v>
      </c>
      <c r="F553">
        <v>0.33</v>
      </c>
    </row>
    <row r="554" spans="1:6">
      <c r="A554" s="1">
        <v>44713</v>
      </c>
      <c r="B554" s="1" t="str">
        <f t="shared" si="16"/>
        <v>After 5G</v>
      </c>
      <c r="C554">
        <v>160017</v>
      </c>
      <c r="D554" t="str">
        <f t="shared" si="17"/>
        <v>Chandigarh</v>
      </c>
      <c r="E554" t="s">
        <v>24</v>
      </c>
      <c r="F554">
        <v>0.22</v>
      </c>
    </row>
    <row r="555" spans="1:6">
      <c r="A555" s="1">
        <v>44713</v>
      </c>
      <c r="B555" s="1" t="str">
        <f t="shared" si="16"/>
        <v>After 5G</v>
      </c>
      <c r="C555">
        <v>122001</v>
      </c>
      <c r="D555" t="str">
        <f t="shared" si="17"/>
        <v>Gurgaon</v>
      </c>
      <c r="E555" t="s">
        <v>24</v>
      </c>
      <c r="F555">
        <v>0.2</v>
      </c>
    </row>
    <row r="556" spans="1:6">
      <c r="A556" s="1">
        <v>44713</v>
      </c>
      <c r="B556" s="1" t="str">
        <f t="shared" si="16"/>
        <v>After 5G</v>
      </c>
      <c r="C556">
        <v>492001</v>
      </c>
      <c r="D556" t="str">
        <f t="shared" si="17"/>
        <v>Raipur</v>
      </c>
      <c r="E556" t="s">
        <v>24</v>
      </c>
      <c r="F556">
        <v>0.19</v>
      </c>
    </row>
    <row r="557" spans="1:6">
      <c r="A557" s="1">
        <v>44743</v>
      </c>
      <c r="B557" s="1" t="str">
        <f t="shared" si="16"/>
        <v>After 5G</v>
      </c>
      <c r="C557">
        <v>400001</v>
      </c>
      <c r="D557" t="str">
        <f t="shared" si="17"/>
        <v>Mumbai</v>
      </c>
      <c r="E557" t="s">
        <v>24</v>
      </c>
      <c r="F557">
        <v>2.9</v>
      </c>
    </row>
    <row r="558" spans="1:6">
      <c r="A558" s="1">
        <v>44743</v>
      </c>
      <c r="B558" s="1" t="str">
        <f t="shared" si="16"/>
        <v>After 5G</v>
      </c>
      <c r="C558">
        <v>110001</v>
      </c>
      <c r="D558" t="str">
        <f t="shared" si="17"/>
        <v>Delhi</v>
      </c>
      <c r="E558" t="s">
        <v>24</v>
      </c>
      <c r="F558">
        <v>2.08</v>
      </c>
    </row>
    <row r="559" spans="1:6">
      <c r="A559" s="1">
        <v>44743</v>
      </c>
      <c r="B559" s="1" t="str">
        <f t="shared" si="16"/>
        <v>After 5G</v>
      </c>
      <c r="C559">
        <v>700001</v>
      </c>
      <c r="D559" t="str">
        <f t="shared" si="17"/>
        <v>Kolkata</v>
      </c>
      <c r="E559" t="s">
        <v>24</v>
      </c>
      <c r="F559">
        <v>1.5</v>
      </c>
    </row>
    <row r="560" spans="1:6">
      <c r="A560" s="1">
        <v>44743</v>
      </c>
      <c r="B560" s="1" t="str">
        <f t="shared" si="16"/>
        <v>After 5G</v>
      </c>
      <c r="C560">
        <v>560001</v>
      </c>
      <c r="D560" t="str">
        <f t="shared" si="17"/>
        <v>Bangalore</v>
      </c>
      <c r="E560" t="s">
        <v>24</v>
      </c>
      <c r="F560">
        <v>1.46</v>
      </c>
    </row>
    <row r="561" spans="1:6">
      <c r="A561" s="1">
        <v>44743</v>
      </c>
      <c r="B561" s="1" t="str">
        <f t="shared" si="16"/>
        <v>After 5G</v>
      </c>
      <c r="C561">
        <v>600001</v>
      </c>
      <c r="D561" t="str">
        <f t="shared" si="17"/>
        <v>Chennai</v>
      </c>
      <c r="E561" t="s">
        <v>24</v>
      </c>
      <c r="F561">
        <v>2.21</v>
      </c>
    </row>
    <row r="562" spans="1:6">
      <c r="A562" s="1">
        <v>44743</v>
      </c>
      <c r="B562" s="1" t="str">
        <f t="shared" si="16"/>
        <v>After 5G</v>
      </c>
      <c r="C562">
        <v>500001</v>
      </c>
      <c r="D562" t="str">
        <f t="shared" si="17"/>
        <v>Hyderabad</v>
      </c>
      <c r="E562" t="s">
        <v>24</v>
      </c>
      <c r="F562">
        <v>1.63</v>
      </c>
    </row>
    <row r="563" spans="1:6">
      <c r="A563" s="1">
        <v>44743</v>
      </c>
      <c r="B563" s="1" t="str">
        <f t="shared" si="16"/>
        <v>After 5G</v>
      </c>
      <c r="C563">
        <v>411001</v>
      </c>
      <c r="D563" t="str">
        <f t="shared" si="17"/>
        <v>Pune</v>
      </c>
      <c r="E563" t="s">
        <v>24</v>
      </c>
      <c r="F563">
        <v>1.22</v>
      </c>
    </row>
    <row r="564" spans="1:6">
      <c r="A564" s="1">
        <v>44743</v>
      </c>
      <c r="B564" s="1" t="str">
        <f t="shared" si="16"/>
        <v>After 5G</v>
      </c>
      <c r="C564">
        <v>380001</v>
      </c>
      <c r="D564" t="str">
        <f t="shared" si="17"/>
        <v>Ahmedabad</v>
      </c>
      <c r="E564" t="s">
        <v>24</v>
      </c>
      <c r="F564">
        <v>0.71</v>
      </c>
    </row>
    <row r="565" spans="1:6">
      <c r="A565" s="1">
        <v>44743</v>
      </c>
      <c r="B565" s="1" t="str">
        <f t="shared" si="16"/>
        <v>After 5G</v>
      </c>
      <c r="C565">
        <v>302001</v>
      </c>
      <c r="D565" t="str">
        <f t="shared" si="17"/>
        <v>Jaipur</v>
      </c>
      <c r="E565" t="s">
        <v>24</v>
      </c>
      <c r="F565">
        <v>0.66</v>
      </c>
    </row>
    <row r="566" spans="1:6">
      <c r="A566" s="1">
        <v>44743</v>
      </c>
      <c r="B566" s="1" t="str">
        <f t="shared" si="16"/>
        <v>After 5G</v>
      </c>
      <c r="C566">
        <v>226001</v>
      </c>
      <c r="D566" t="str">
        <f t="shared" si="17"/>
        <v>Lucknow</v>
      </c>
      <c r="E566" t="s">
        <v>24</v>
      </c>
      <c r="F566">
        <v>1.0900000000000001</v>
      </c>
    </row>
    <row r="567" spans="1:6">
      <c r="A567" s="1">
        <v>44743</v>
      </c>
      <c r="B567" s="1" t="str">
        <f t="shared" si="16"/>
        <v>After 5G</v>
      </c>
      <c r="C567">
        <v>800008</v>
      </c>
      <c r="D567" t="str">
        <f t="shared" si="17"/>
        <v>Patna</v>
      </c>
      <c r="E567" t="s">
        <v>24</v>
      </c>
      <c r="F567">
        <v>0.44</v>
      </c>
    </row>
    <row r="568" spans="1:6">
      <c r="A568" s="1">
        <v>44743</v>
      </c>
      <c r="B568" s="1" t="str">
        <f t="shared" si="16"/>
        <v>After 5G</v>
      </c>
      <c r="C568">
        <v>641001</v>
      </c>
      <c r="D568" t="str">
        <f t="shared" si="17"/>
        <v>Coimbatore</v>
      </c>
      <c r="E568" t="s">
        <v>24</v>
      </c>
      <c r="F568">
        <v>0.42</v>
      </c>
    </row>
    <row r="569" spans="1:6">
      <c r="A569" s="1">
        <v>44743</v>
      </c>
      <c r="B569" s="1" t="str">
        <f t="shared" si="16"/>
        <v>After 5G</v>
      </c>
      <c r="C569">
        <v>160017</v>
      </c>
      <c r="D569" t="str">
        <f t="shared" si="17"/>
        <v>Chandigarh</v>
      </c>
      <c r="E569" t="s">
        <v>24</v>
      </c>
      <c r="F569">
        <v>0.27</v>
      </c>
    </row>
    <row r="570" spans="1:6">
      <c r="A570" s="1">
        <v>44743</v>
      </c>
      <c r="B570" s="1" t="str">
        <f t="shared" si="16"/>
        <v>After 5G</v>
      </c>
      <c r="C570">
        <v>122001</v>
      </c>
      <c r="D570" t="str">
        <f t="shared" si="17"/>
        <v>Gurgaon</v>
      </c>
      <c r="E570" t="s">
        <v>24</v>
      </c>
      <c r="F570">
        <v>0.4</v>
      </c>
    </row>
    <row r="571" spans="1:6">
      <c r="A571" s="1">
        <v>44743</v>
      </c>
      <c r="B571" s="1" t="str">
        <f t="shared" si="16"/>
        <v>After 5G</v>
      </c>
      <c r="C571">
        <v>492001</v>
      </c>
      <c r="D571" t="str">
        <f t="shared" si="17"/>
        <v>Raipur</v>
      </c>
      <c r="E571" t="s">
        <v>24</v>
      </c>
      <c r="F571">
        <v>0.21</v>
      </c>
    </row>
    <row r="572" spans="1:6">
      <c r="A572" s="1">
        <v>44774</v>
      </c>
      <c r="B572" s="1" t="str">
        <f t="shared" si="16"/>
        <v>After 5G</v>
      </c>
      <c r="C572">
        <v>400001</v>
      </c>
      <c r="D572" t="str">
        <f t="shared" si="17"/>
        <v>Mumbai</v>
      </c>
      <c r="E572" t="s">
        <v>24</v>
      </c>
      <c r="F572">
        <v>2.63</v>
      </c>
    </row>
    <row r="573" spans="1:6">
      <c r="A573" s="1">
        <v>44774</v>
      </c>
      <c r="B573" s="1" t="str">
        <f t="shared" si="16"/>
        <v>After 5G</v>
      </c>
      <c r="C573">
        <v>110001</v>
      </c>
      <c r="D573" t="str">
        <f t="shared" si="17"/>
        <v>Delhi</v>
      </c>
      <c r="E573" t="s">
        <v>24</v>
      </c>
      <c r="F573">
        <v>2.06</v>
      </c>
    </row>
    <row r="574" spans="1:6">
      <c r="A574" s="1">
        <v>44774</v>
      </c>
      <c r="B574" s="1" t="str">
        <f t="shared" si="16"/>
        <v>After 5G</v>
      </c>
      <c r="C574">
        <v>700001</v>
      </c>
      <c r="D574" t="str">
        <f t="shared" si="17"/>
        <v>Kolkata</v>
      </c>
      <c r="E574" t="s">
        <v>24</v>
      </c>
      <c r="F574">
        <v>2.73</v>
      </c>
    </row>
    <row r="575" spans="1:6">
      <c r="A575" s="1">
        <v>44774</v>
      </c>
      <c r="B575" s="1" t="str">
        <f t="shared" si="16"/>
        <v>After 5G</v>
      </c>
      <c r="C575">
        <v>560001</v>
      </c>
      <c r="D575" t="str">
        <f t="shared" si="17"/>
        <v>Bangalore</v>
      </c>
      <c r="E575" t="s">
        <v>24</v>
      </c>
      <c r="F575">
        <v>1.83</v>
      </c>
    </row>
    <row r="576" spans="1:6">
      <c r="A576" s="1">
        <v>44774</v>
      </c>
      <c r="B576" s="1" t="str">
        <f t="shared" si="16"/>
        <v>After 5G</v>
      </c>
      <c r="C576">
        <v>600001</v>
      </c>
      <c r="D576" t="str">
        <f t="shared" si="17"/>
        <v>Chennai</v>
      </c>
      <c r="E576" t="s">
        <v>24</v>
      </c>
      <c r="F576">
        <v>1.33</v>
      </c>
    </row>
    <row r="577" spans="1:6">
      <c r="A577" s="1">
        <v>44774</v>
      </c>
      <c r="B577" s="1" t="str">
        <f t="shared" si="16"/>
        <v>After 5G</v>
      </c>
      <c r="C577">
        <v>500001</v>
      </c>
      <c r="D577" t="str">
        <f t="shared" si="17"/>
        <v>Hyderabad</v>
      </c>
      <c r="E577" t="s">
        <v>24</v>
      </c>
      <c r="F577">
        <v>1.44</v>
      </c>
    </row>
    <row r="578" spans="1:6">
      <c r="A578" s="1">
        <v>44774</v>
      </c>
      <c r="B578" s="1" t="str">
        <f t="shared" si="16"/>
        <v>After 5G</v>
      </c>
      <c r="C578">
        <v>411001</v>
      </c>
      <c r="D578" t="str">
        <f t="shared" si="17"/>
        <v>Pune</v>
      </c>
      <c r="E578" t="s">
        <v>24</v>
      </c>
      <c r="F578">
        <v>1.02</v>
      </c>
    </row>
    <row r="579" spans="1:6">
      <c r="A579" s="1">
        <v>44774</v>
      </c>
      <c r="B579" s="1" t="str">
        <f t="shared" ref="B579:B642" si="18">VLOOKUP(A579,$H$2:$K$9,3,FALSE)</f>
        <v>After 5G</v>
      </c>
      <c r="C579">
        <v>380001</v>
      </c>
      <c r="D579" t="str">
        <f t="shared" ref="D579:D642" si="19">VLOOKUP(C579,$M$2:$N$16,2,FALSE)</f>
        <v>Ahmedabad</v>
      </c>
      <c r="E579" t="s">
        <v>24</v>
      </c>
      <c r="F579">
        <v>1.44</v>
      </c>
    </row>
    <row r="580" spans="1:6">
      <c r="A580" s="1">
        <v>44774</v>
      </c>
      <c r="B580" s="1" t="str">
        <f t="shared" si="18"/>
        <v>After 5G</v>
      </c>
      <c r="C580">
        <v>302001</v>
      </c>
      <c r="D580" t="str">
        <f t="shared" si="19"/>
        <v>Jaipur</v>
      </c>
      <c r="E580" t="s">
        <v>24</v>
      </c>
      <c r="F580">
        <v>0.73</v>
      </c>
    </row>
    <row r="581" spans="1:6">
      <c r="A581" s="1">
        <v>44774</v>
      </c>
      <c r="B581" s="1" t="str">
        <f t="shared" si="18"/>
        <v>After 5G</v>
      </c>
      <c r="C581">
        <v>226001</v>
      </c>
      <c r="D581" t="str">
        <f t="shared" si="19"/>
        <v>Lucknow</v>
      </c>
      <c r="E581" t="s">
        <v>24</v>
      </c>
      <c r="F581">
        <v>0.73</v>
      </c>
    </row>
    <row r="582" spans="1:6">
      <c r="A582" s="1">
        <v>44774</v>
      </c>
      <c r="B582" s="1" t="str">
        <f t="shared" si="18"/>
        <v>After 5G</v>
      </c>
      <c r="C582">
        <v>800008</v>
      </c>
      <c r="D582" t="str">
        <f t="shared" si="19"/>
        <v>Patna</v>
      </c>
      <c r="E582" t="s">
        <v>24</v>
      </c>
      <c r="F582">
        <v>0.51</v>
      </c>
    </row>
    <row r="583" spans="1:6">
      <c r="A583" s="1">
        <v>44774</v>
      </c>
      <c r="B583" s="1" t="str">
        <f t="shared" si="18"/>
        <v>After 5G</v>
      </c>
      <c r="C583">
        <v>641001</v>
      </c>
      <c r="D583" t="str">
        <f t="shared" si="19"/>
        <v>Coimbatore</v>
      </c>
      <c r="E583" t="s">
        <v>24</v>
      </c>
      <c r="F583">
        <v>0.75</v>
      </c>
    </row>
    <row r="584" spans="1:6">
      <c r="A584" s="1">
        <v>44774</v>
      </c>
      <c r="B584" s="1" t="str">
        <f t="shared" si="18"/>
        <v>After 5G</v>
      </c>
      <c r="C584">
        <v>160017</v>
      </c>
      <c r="D584" t="str">
        <f t="shared" si="19"/>
        <v>Chandigarh</v>
      </c>
      <c r="E584" t="s">
        <v>24</v>
      </c>
      <c r="F584">
        <v>0.27</v>
      </c>
    </row>
    <row r="585" spans="1:6">
      <c r="A585" s="1">
        <v>44774</v>
      </c>
      <c r="B585" s="1" t="str">
        <f t="shared" si="18"/>
        <v>After 5G</v>
      </c>
      <c r="C585">
        <v>122001</v>
      </c>
      <c r="D585" t="str">
        <f t="shared" si="19"/>
        <v>Gurgaon</v>
      </c>
      <c r="E585" t="s">
        <v>24</v>
      </c>
      <c r="F585">
        <v>0.28000000000000003</v>
      </c>
    </row>
    <row r="586" spans="1:6">
      <c r="A586" s="1">
        <v>44774</v>
      </c>
      <c r="B586" s="1" t="str">
        <f t="shared" si="18"/>
        <v>After 5G</v>
      </c>
      <c r="C586">
        <v>492001</v>
      </c>
      <c r="D586" t="str">
        <f t="shared" si="19"/>
        <v>Raipur</v>
      </c>
      <c r="E586" t="s">
        <v>24</v>
      </c>
      <c r="F586">
        <v>0.13</v>
      </c>
    </row>
    <row r="587" spans="1:6">
      <c r="A587" s="1">
        <v>44805</v>
      </c>
      <c r="B587" s="1" t="str">
        <f t="shared" si="18"/>
        <v>After 5G</v>
      </c>
      <c r="C587">
        <v>400001</v>
      </c>
      <c r="D587" t="str">
        <f t="shared" si="19"/>
        <v>Mumbai</v>
      </c>
      <c r="E587" t="s">
        <v>24</v>
      </c>
      <c r="F587">
        <v>2.61</v>
      </c>
    </row>
    <row r="588" spans="1:6">
      <c r="A588" s="1">
        <v>44805</v>
      </c>
      <c r="B588" s="1" t="str">
        <f t="shared" si="18"/>
        <v>After 5G</v>
      </c>
      <c r="C588">
        <v>110001</v>
      </c>
      <c r="D588" t="str">
        <f t="shared" si="19"/>
        <v>Delhi</v>
      </c>
      <c r="E588" t="s">
        <v>24</v>
      </c>
      <c r="F588">
        <v>2.0299999999999998</v>
      </c>
    </row>
    <row r="589" spans="1:6">
      <c r="A589" s="1">
        <v>44805</v>
      </c>
      <c r="B589" s="1" t="str">
        <f t="shared" si="18"/>
        <v>After 5G</v>
      </c>
      <c r="C589">
        <v>700001</v>
      </c>
      <c r="D589" t="str">
        <f t="shared" si="19"/>
        <v>Kolkata</v>
      </c>
      <c r="E589" t="s">
        <v>24</v>
      </c>
      <c r="F589">
        <v>1.73</v>
      </c>
    </row>
    <row r="590" spans="1:6">
      <c r="A590" s="1">
        <v>44805</v>
      </c>
      <c r="B590" s="1" t="str">
        <f t="shared" si="18"/>
        <v>After 5G</v>
      </c>
      <c r="C590">
        <v>560001</v>
      </c>
      <c r="D590" t="str">
        <f t="shared" si="19"/>
        <v>Bangalore</v>
      </c>
      <c r="E590" t="s">
        <v>24</v>
      </c>
      <c r="F590">
        <v>1.33</v>
      </c>
    </row>
    <row r="591" spans="1:6">
      <c r="A591" s="1">
        <v>44805</v>
      </c>
      <c r="B591" s="1" t="str">
        <f t="shared" si="18"/>
        <v>After 5G</v>
      </c>
      <c r="C591">
        <v>600001</v>
      </c>
      <c r="D591" t="str">
        <f t="shared" si="19"/>
        <v>Chennai</v>
      </c>
      <c r="E591" t="s">
        <v>24</v>
      </c>
      <c r="F591">
        <v>1.24</v>
      </c>
    </row>
    <row r="592" spans="1:6">
      <c r="A592" s="1">
        <v>44805</v>
      </c>
      <c r="B592" s="1" t="str">
        <f t="shared" si="18"/>
        <v>After 5G</v>
      </c>
      <c r="C592">
        <v>500001</v>
      </c>
      <c r="D592" t="str">
        <f t="shared" si="19"/>
        <v>Hyderabad</v>
      </c>
      <c r="E592" t="s">
        <v>24</v>
      </c>
      <c r="F592">
        <v>0.94</v>
      </c>
    </row>
    <row r="593" spans="1:6">
      <c r="A593" s="1">
        <v>44805</v>
      </c>
      <c r="B593" s="1" t="str">
        <f t="shared" si="18"/>
        <v>After 5G</v>
      </c>
      <c r="C593">
        <v>411001</v>
      </c>
      <c r="D593" t="str">
        <f t="shared" si="19"/>
        <v>Pune</v>
      </c>
      <c r="E593" t="s">
        <v>24</v>
      </c>
      <c r="F593">
        <v>1.63</v>
      </c>
    </row>
    <row r="594" spans="1:6">
      <c r="A594" s="1">
        <v>44805</v>
      </c>
      <c r="B594" s="1" t="str">
        <f t="shared" si="18"/>
        <v>After 5G</v>
      </c>
      <c r="C594">
        <v>380001</v>
      </c>
      <c r="D594" t="str">
        <f t="shared" si="19"/>
        <v>Ahmedabad</v>
      </c>
      <c r="E594" t="s">
        <v>24</v>
      </c>
      <c r="F594">
        <v>0.87</v>
      </c>
    </row>
    <row r="595" spans="1:6">
      <c r="A595" s="1">
        <v>44805</v>
      </c>
      <c r="B595" s="1" t="str">
        <f t="shared" si="18"/>
        <v>After 5G</v>
      </c>
      <c r="C595">
        <v>302001</v>
      </c>
      <c r="D595" t="str">
        <f t="shared" si="19"/>
        <v>Jaipur</v>
      </c>
      <c r="E595" t="s">
        <v>24</v>
      </c>
      <c r="F595">
        <v>0.77</v>
      </c>
    </row>
    <row r="596" spans="1:6">
      <c r="A596" s="1">
        <v>44805</v>
      </c>
      <c r="B596" s="1" t="str">
        <f t="shared" si="18"/>
        <v>After 5G</v>
      </c>
      <c r="C596">
        <v>226001</v>
      </c>
      <c r="D596" t="str">
        <f t="shared" si="19"/>
        <v>Lucknow</v>
      </c>
      <c r="E596" t="s">
        <v>24</v>
      </c>
      <c r="F596">
        <v>0.56999999999999995</v>
      </c>
    </row>
    <row r="597" spans="1:6">
      <c r="A597" s="1">
        <v>44805</v>
      </c>
      <c r="B597" s="1" t="str">
        <f t="shared" si="18"/>
        <v>After 5G</v>
      </c>
      <c r="C597">
        <v>800008</v>
      </c>
      <c r="D597" t="str">
        <f t="shared" si="19"/>
        <v>Patna</v>
      </c>
      <c r="E597" t="s">
        <v>24</v>
      </c>
      <c r="F597">
        <v>0.57999999999999996</v>
      </c>
    </row>
    <row r="598" spans="1:6">
      <c r="A598" s="1">
        <v>44805</v>
      </c>
      <c r="B598" s="1" t="str">
        <f t="shared" si="18"/>
        <v>After 5G</v>
      </c>
      <c r="C598">
        <v>641001</v>
      </c>
      <c r="D598" t="str">
        <f t="shared" si="19"/>
        <v>Coimbatore</v>
      </c>
      <c r="E598" t="s">
        <v>24</v>
      </c>
      <c r="F598">
        <v>0.43</v>
      </c>
    </row>
    <row r="599" spans="1:6">
      <c r="A599" s="1">
        <v>44805</v>
      </c>
      <c r="B599" s="1" t="str">
        <f t="shared" si="18"/>
        <v>After 5G</v>
      </c>
      <c r="C599">
        <v>160017</v>
      </c>
      <c r="D599" t="str">
        <f t="shared" si="19"/>
        <v>Chandigarh</v>
      </c>
      <c r="E599" t="s">
        <v>24</v>
      </c>
      <c r="F599">
        <v>0.5</v>
      </c>
    </row>
    <row r="600" spans="1:6">
      <c r="A600" s="1">
        <v>44805</v>
      </c>
      <c r="B600" s="1" t="str">
        <f t="shared" si="18"/>
        <v>After 5G</v>
      </c>
      <c r="C600">
        <v>122001</v>
      </c>
      <c r="D600" t="str">
        <f t="shared" si="19"/>
        <v>Gurgaon</v>
      </c>
      <c r="E600" t="s">
        <v>24</v>
      </c>
      <c r="F600">
        <v>0.26</v>
      </c>
    </row>
    <row r="601" spans="1:6">
      <c r="A601" s="1">
        <v>44805</v>
      </c>
      <c r="B601" s="1" t="str">
        <f t="shared" si="18"/>
        <v>After 5G</v>
      </c>
      <c r="C601">
        <v>492001</v>
      </c>
      <c r="D601" t="str">
        <f t="shared" si="19"/>
        <v>Raipur</v>
      </c>
      <c r="E601" t="s">
        <v>24</v>
      </c>
      <c r="F601">
        <v>0.18</v>
      </c>
    </row>
    <row r="602" spans="1:6">
      <c r="A602" s="1">
        <v>44562</v>
      </c>
      <c r="B602" s="1" t="str">
        <f t="shared" si="18"/>
        <v>Before 5G</v>
      </c>
      <c r="C602">
        <v>400001</v>
      </c>
      <c r="D602" t="str">
        <f t="shared" si="19"/>
        <v>Mumbai</v>
      </c>
      <c r="E602" t="s">
        <v>26</v>
      </c>
      <c r="F602">
        <v>2.2599999999999998</v>
      </c>
    </row>
    <row r="603" spans="1:6">
      <c r="A603" s="1">
        <v>44562</v>
      </c>
      <c r="B603" s="1" t="str">
        <f t="shared" si="18"/>
        <v>Before 5G</v>
      </c>
      <c r="C603">
        <v>110001</v>
      </c>
      <c r="D603" t="str">
        <f t="shared" si="19"/>
        <v>Delhi</v>
      </c>
      <c r="E603" t="s">
        <v>26</v>
      </c>
      <c r="F603">
        <v>2</v>
      </c>
    </row>
    <row r="604" spans="1:6">
      <c r="A604" s="1">
        <v>44562</v>
      </c>
      <c r="B604" s="1" t="str">
        <f t="shared" si="18"/>
        <v>Before 5G</v>
      </c>
      <c r="C604">
        <v>700001</v>
      </c>
      <c r="D604" t="str">
        <f t="shared" si="19"/>
        <v>Kolkata</v>
      </c>
      <c r="E604" t="s">
        <v>26</v>
      </c>
      <c r="F604">
        <v>1.94</v>
      </c>
    </row>
    <row r="605" spans="1:6">
      <c r="A605" s="1">
        <v>44562</v>
      </c>
      <c r="B605" s="1" t="str">
        <f t="shared" si="18"/>
        <v>Before 5G</v>
      </c>
      <c r="C605">
        <v>560001</v>
      </c>
      <c r="D605" t="str">
        <f t="shared" si="19"/>
        <v>Bangalore</v>
      </c>
      <c r="E605" t="s">
        <v>26</v>
      </c>
      <c r="F605">
        <v>1.88</v>
      </c>
    </row>
    <row r="606" spans="1:6">
      <c r="A606" s="1">
        <v>44562</v>
      </c>
      <c r="B606" s="1" t="str">
        <f t="shared" si="18"/>
        <v>Before 5G</v>
      </c>
      <c r="C606">
        <v>600001</v>
      </c>
      <c r="D606" t="str">
        <f t="shared" si="19"/>
        <v>Chennai</v>
      </c>
      <c r="E606" t="s">
        <v>26</v>
      </c>
      <c r="F606">
        <v>1.56</v>
      </c>
    </row>
    <row r="607" spans="1:6">
      <c r="A607" s="1">
        <v>44562</v>
      </c>
      <c r="B607" s="1" t="str">
        <f t="shared" si="18"/>
        <v>Before 5G</v>
      </c>
      <c r="C607">
        <v>500001</v>
      </c>
      <c r="D607" t="str">
        <f t="shared" si="19"/>
        <v>Hyderabad</v>
      </c>
      <c r="E607" t="s">
        <v>26</v>
      </c>
      <c r="F607">
        <v>1.34</v>
      </c>
    </row>
    <row r="608" spans="1:6">
      <c r="A608" s="1">
        <v>44562</v>
      </c>
      <c r="B608" s="1" t="str">
        <f t="shared" si="18"/>
        <v>Before 5G</v>
      </c>
      <c r="C608">
        <v>411001</v>
      </c>
      <c r="D608" t="str">
        <f t="shared" si="19"/>
        <v>Pune</v>
      </c>
      <c r="E608" t="s">
        <v>26</v>
      </c>
      <c r="F608">
        <v>0.95</v>
      </c>
    </row>
    <row r="609" spans="1:6">
      <c r="A609" s="1">
        <v>44562</v>
      </c>
      <c r="B609" s="1" t="str">
        <f t="shared" si="18"/>
        <v>Before 5G</v>
      </c>
      <c r="C609">
        <v>380001</v>
      </c>
      <c r="D609" t="str">
        <f t="shared" si="19"/>
        <v>Ahmedabad</v>
      </c>
      <c r="E609" t="s">
        <v>26</v>
      </c>
      <c r="F609">
        <v>1.17</v>
      </c>
    </row>
    <row r="610" spans="1:6">
      <c r="A610" s="1">
        <v>44562</v>
      </c>
      <c r="B610" s="1" t="str">
        <f t="shared" si="18"/>
        <v>Before 5G</v>
      </c>
      <c r="C610">
        <v>302001</v>
      </c>
      <c r="D610" t="str">
        <f t="shared" si="19"/>
        <v>Jaipur</v>
      </c>
      <c r="E610" t="s">
        <v>26</v>
      </c>
      <c r="F610">
        <v>1.03</v>
      </c>
    </row>
    <row r="611" spans="1:6">
      <c r="A611" s="1">
        <v>44562</v>
      </c>
      <c r="B611" s="1" t="str">
        <f t="shared" si="18"/>
        <v>Before 5G</v>
      </c>
      <c r="C611">
        <v>226001</v>
      </c>
      <c r="D611" t="str">
        <f t="shared" si="19"/>
        <v>Lucknow</v>
      </c>
      <c r="E611" t="s">
        <v>26</v>
      </c>
      <c r="F611">
        <v>0.67</v>
      </c>
    </row>
    <row r="612" spans="1:6">
      <c r="A612" s="1">
        <v>44562</v>
      </c>
      <c r="B612" s="1" t="str">
        <f t="shared" si="18"/>
        <v>Before 5G</v>
      </c>
      <c r="C612">
        <v>800008</v>
      </c>
      <c r="D612" t="str">
        <f t="shared" si="19"/>
        <v>Patna</v>
      </c>
      <c r="E612" t="s">
        <v>26</v>
      </c>
      <c r="F612">
        <v>0.9</v>
      </c>
    </row>
    <row r="613" spans="1:6">
      <c r="A613" s="1">
        <v>44562</v>
      </c>
      <c r="B613" s="1" t="str">
        <f t="shared" si="18"/>
        <v>Before 5G</v>
      </c>
      <c r="C613">
        <v>641001</v>
      </c>
      <c r="D613" t="str">
        <f t="shared" si="19"/>
        <v>Coimbatore</v>
      </c>
      <c r="E613" t="s">
        <v>26</v>
      </c>
      <c r="F613">
        <v>0.34</v>
      </c>
    </row>
    <row r="614" spans="1:6">
      <c r="A614" s="1">
        <v>44562</v>
      </c>
      <c r="B614" s="1" t="str">
        <f t="shared" si="18"/>
        <v>Before 5G</v>
      </c>
      <c r="C614">
        <v>160017</v>
      </c>
      <c r="D614" t="str">
        <f t="shared" si="19"/>
        <v>Chandigarh</v>
      </c>
      <c r="E614" t="s">
        <v>26</v>
      </c>
      <c r="F614">
        <v>0.26</v>
      </c>
    </row>
    <row r="615" spans="1:6">
      <c r="A615" s="1">
        <v>44562</v>
      </c>
      <c r="B615" s="1" t="str">
        <f t="shared" si="18"/>
        <v>Before 5G</v>
      </c>
      <c r="C615">
        <v>122001</v>
      </c>
      <c r="D615" t="str">
        <f t="shared" si="19"/>
        <v>Gurgaon</v>
      </c>
      <c r="E615" t="s">
        <v>26</v>
      </c>
      <c r="F615">
        <v>0.2</v>
      </c>
    </row>
    <row r="616" spans="1:6">
      <c r="A616" s="1">
        <v>44562</v>
      </c>
      <c r="B616" s="1" t="str">
        <f t="shared" si="18"/>
        <v>Before 5G</v>
      </c>
      <c r="C616">
        <v>492001</v>
      </c>
      <c r="D616" t="str">
        <f t="shared" si="19"/>
        <v>Raipur</v>
      </c>
      <c r="E616" t="s">
        <v>26</v>
      </c>
      <c r="F616">
        <v>0.19</v>
      </c>
    </row>
    <row r="617" spans="1:6">
      <c r="A617" s="1">
        <v>44593</v>
      </c>
      <c r="B617" s="1" t="str">
        <f t="shared" si="18"/>
        <v>Before 5G</v>
      </c>
      <c r="C617">
        <v>400001</v>
      </c>
      <c r="D617" t="str">
        <f t="shared" si="19"/>
        <v>Mumbai</v>
      </c>
      <c r="E617" t="s">
        <v>26</v>
      </c>
      <c r="F617">
        <v>2.62</v>
      </c>
    </row>
    <row r="618" spans="1:6">
      <c r="A618" s="1">
        <v>44593</v>
      </c>
      <c r="B618" s="1" t="str">
        <f t="shared" si="18"/>
        <v>Before 5G</v>
      </c>
      <c r="C618">
        <v>110001</v>
      </c>
      <c r="D618" t="str">
        <f t="shared" si="19"/>
        <v>Delhi</v>
      </c>
      <c r="E618" t="s">
        <v>26</v>
      </c>
      <c r="F618">
        <v>2.14</v>
      </c>
    </row>
    <row r="619" spans="1:6">
      <c r="A619" s="1">
        <v>44593</v>
      </c>
      <c r="B619" s="1" t="str">
        <f t="shared" si="18"/>
        <v>Before 5G</v>
      </c>
      <c r="C619">
        <v>700001</v>
      </c>
      <c r="D619" t="str">
        <f t="shared" si="19"/>
        <v>Kolkata</v>
      </c>
      <c r="E619" t="s">
        <v>26</v>
      </c>
      <c r="F619">
        <v>1.99</v>
      </c>
    </row>
    <row r="620" spans="1:6">
      <c r="A620" s="1">
        <v>44593</v>
      </c>
      <c r="B620" s="1" t="str">
        <f t="shared" si="18"/>
        <v>Before 5G</v>
      </c>
      <c r="C620">
        <v>560001</v>
      </c>
      <c r="D620" t="str">
        <f t="shared" si="19"/>
        <v>Bangalore</v>
      </c>
      <c r="E620" t="s">
        <v>26</v>
      </c>
      <c r="F620">
        <v>2.65</v>
      </c>
    </row>
    <row r="621" spans="1:6">
      <c r="A621" s="1">
        <v>44593</v>
      </c>
      <c r="B621" s="1" t="str">
        <f t="shared" si="18"/>
        <v>Before 5G</v>
      </c>
      <c r="C621">
        <v>600001</v>
      </c>
      <c r="D621" t="str">
        <f t="shared" si="19"/>
        <v>Chennai</v>
      </c>
      <c r="E621" t="s">
        <v>26</v>
      </c>
      <c r="F621">
        <v>2.5499999999999998</v>
      </c>
    </row>
    <row r="622" spans="1:6">
      <c r="A622" s="1">
        <v>44593</v>
      </c>
      <c r="B622" s="1" t="str">
        <f t="shared" si="18"/>
        <v>Before 5G</v>
      </c>
      <c r="C622">
        <v>500001</v>
      </c>
      <c r="D622" t="str">
        <f t="shared" si="19"/>
        <v>Hyderabad</v>
      </c>
      <c r="E622" t="s">
        <v>26</v>
      </c>
      <c r="F622">
        <v>1.5</v>
      </c>
    </row>
    <row r="623" spans="1:6">
      <c r="A623" s="1">
        <v>44593</v>
      </c>
      <c r="B623" s="1" t="str">
        <f t="shared" si="18"/>
        <v>Before 5G</v>
      </c>
      <c r="C623">
        <v>411001</v>
      </c>
      <c r="D623" t="str">
        <f t="shared" si="19"/>
        <v>Pune</v>
      </c>
      <c r="E623" t="s">
        <v>26</v>
      </c>
      <c r="F623">
        <v>1.28</v>
      </c>
    </row>
    <row r="624" spans="1:6">
      <c r="A624" s="1">
        <v>44593</v>
      </c>
      <c r="B624" s="1" t="str">
        <f t="shared" si="18"/>
        <v>Before 5G</v>
      </c>
      <c r="C624">
        <v>380001</v>
      </c>
      <c r="D624" t="str">
        <f t="shared" si="19"/>
        <v>Ahmedabad</v>
      </c>
      <c r="E624" t="s">
        <v>26</v>
      </c>
      <c r="F624">
        <v>0.9</v>
      </c>
    </row>
    <row r="625" spans="1:6">
      <c r="A625" s="1">
        <v>44593</v>
      </c>
      <c r="B625" s="1" t="str">
        <f t="shared" si="18"/>
        <v>Before 5G</v>
      </c>
      <c r="C625">
        <v>302001</v>
      </c>
      <c r="D625" t="str">
        <f t="shared" si="19"/>
        <v>Jaipur</v>
      </c>
      <c r="E625" t="s">
        <v>26</v>
      </c>
      <c r="F625">
        <v>0.69</v>
      </c>
    </row>
    <row r="626" spans="1:6">
      <c r="A626" s="1">
        <v>44593</v>
      </c>
      <c r="B626" s="1" t="str">
        <f t="shared" si="18"/>
        <v>Before 5G</v>
      </c>
      <c r="C626">
        <v>226001</v>
      </c>
      <c r="D626" t="str">
        <f t="shared" si="19"/>
        <v>Lucknow</v>
      </c>
      <c r="E626" t="s">
        <v>26</v>
      </c>
      <c r="F626">
        <v>1.49</v>
      </c>
    </row>
    <row r="627" spans="1:6">
      <c r="A627" s="1">
        <v>44593</v>
      </c>
      <c r="B627" s="1" t="str">
        <f t="shared" si="18"/>
        <v>Before 5G</v>
      </c>
      <c r="C627">
        <v>800008</v>
      </c>
      <c r="D627" t="str">
        <f t="shared" si="19"/>
        <v>Patna</v>
      </c>
      <c r="E627" t="s">
        <v>26</v>
      </c>
      <c r="F627">
        <v>0.53</v>
      </c>
    </row>
    <row r="628" spans="1:6">
      <c r="A628" s="1">
        <v>44593</v>
      </c>
      <c r="B628" s="1" t="str">
        <f t="shared" si="18"/>
        <v>Before 5G</v>
      </c>
      <c r="C628">
        <v>641001</v>
      </c>
      <c r="D628" t="str">
        <f t="shared" si="19"/>
        <v>Coimbatore</v>
      </c>
      <c r="E628" t="s">
        <v>26</v>
      </c>
      <c r="F628">
        <v>0.52</v>
      </c>
    </row>
    <row r="629" spans="1:6">
      <c r="A629" s="1">
        <v>44593</v>
      </c>
      <c r="B629" s="1" t="str">
        <f t="shared" si="18"/>
        <v>Before 5G</v>
      </c>
      <c r="C629">
        <v>160017</v>
      </c>
      <c r="D629" t="str">
        <f t="shared" si="19"/>
        <v>Chandigarh</v>
      </c>
      <c r="E629" t="s">
        <v>26</v>
      </c>
      <c r="F629">
        <v>0.27</v>
      </c>
    </row>
    <row r="630" spans="1:6">
      <c r="A630" s="1">
        <v>44593</v>
      </c>
      <c r="B630" s="1" t="str">
        <f t="shared" si="18"/>
        <v>Before 5G</v>
      </c>
      <c r="C630">
        <v>122001</v>
      </c>
      <c r="D630" t="str">
        <f t="shared" si="19"/>
        <v>Gurgaon</v>
      </c>
      <c r="E630" t="s">
        <v>26</v>
      </c>
      <c r="F630">
        <v>0.34</v>
      </c>
    </row>
    <row r="631" spans="1:6">
      <c r="A631" s="1">
        <v>44593</v>
      </c>
      <c r="B631" s="1" t="str">
        <f t="shared" si="18"/>
        <v>Before 5G</v>
      </c>
      <c r="C631">
        <v>492001</v>
      </c>
      <c r="D631" t="str">
        <f t="shared" si="19"/>
        <v>Raipur</v>
      </c>
      <c r="E631" t="s">
        <v>26</v>
      </c>
      <c r="F631">
        <v>0.22</v>
      </c>
    </row>
    <row r="632" spans="1:6">
      <c r="A632" s="1">
        <v>44621</v>
      </c>
      <c r="B632" s="1" t="str">
        <f t="shared" si="18"/>
        <v>Before 5G</v>
      </c>
      <c r="C632">
        <v>400001</v>
      </c>
      <c r="D632" t="str">
        <f t="shared" si="19"/>
        <v>Mumbai</v>
      </c>
      <c r="E632" t="s">
        <v>26</v>
      </c>
      <c r="F632">
        <v>2.74</v>
      </c>
    </row>
    <row r="633" spans="1:6">
      <c r="A633" s="1">
        <v>44621</v>
      </c>
      <c r="B633" s="1" t="str">
        <f t="shared" si="18"/>
        <v>Before 5G</v>
      </c>
      <c r="C633">
        <v>110001</v>
      </c>
      <c r="D633" t="str">
        <f t="shared" si="19"/>
        <v>Delhi</v>
      </c>
      <c r="E633" t="s">
        <v>26</v>
      </c>
      <c r="F633">
        <v>1.95</v>
      </c>
    </row>
    <row r="634" spans="1:6">
      <c r="A634" s="1">
        <v>44621</v>
      </c>
      <c r="B634" s="1" t="str">
        <f t="shared" si="18"/>
        <v>Before 5G</v>
      </c>
      <c r="C634">
        <v>700001</v>
      </c>
      <c r="D634" t="str">
        <f t="shared" si="19"/>
        <v>Kolkata</v>
      </c>
      <c r="E634" t="s">
        <v>26</v>
      </c>
      <c r="F634">
        <v>3.55</v>
      </c>
    </row>
    <row r="635" spans="1:6">
      <c r="A635" s="1">
        <v>44621</v>
      </c>
      <c r="B635" s="1" t="str">
        <f t="shared" si="18"/>
        <v>Before 5G</v>
      </c>
      <c r="C635">
        <v>560001</v>
      </c>
      <c r="D635" t="str">
        <f t="shared" si="19"/>
        <v>Bangalore</v>
      </c>
      <c r="E635" t="s">
        <v>26</v>
      </c>
      <c r="F635">
        <v>2.02</v>
      </c>
    </row>
    <row r="636" spans="1:6">
      <c r="A636" s="1">
        <v>44621</v>
      </c>
      <c r="B636" s="1" t="str">
        <f t="shared" si="18"/>
        <v>Before 5G</v>
      </c>
      <c r="C636">
        <v>600001</v>
      </c>
      <c r="D636" t="str">
        <f t="shared" si="19"/>
        <v>Chennai</v>
      </c>
      <c r="E636" t="s">
        <v>26</v>
      </c>
      <c r="F636">
        <v>1.39</v>
      </c>
    </row>
    <row r="637" spans="1:6">
      <c r="A637" s="1">
        <v>44621</v>
      </c>
      <c r="B637" s="1" t="str">
        <f t="shared" si="18"/>
        <v>Before 5G</v>
      </c>
      <c r="C637">
        <v>500001</v>
      </c>
      <c r="D637" t="str">
        <f t="shared" si="19"/>
        <v>Hyderabad</v>
      </c>
      <c r="E637" t="s">
        <v>26</v>
      </c>
      <c r="F637">
        <v>1.64</v>
      </c>
    </row>
    <row r="638" spans="1:6">
      <c r="A638" s="1">
        <v>44621</v>
      </c>
      <c r="B638" s="1" t="str">
        <f t="shared" si="18"/>
        <v>Before 5G</v>
      </c>
      <c r="C638">
        <v>411001</v>
      </c>
      <c r="D638" t="str">
        <f t="shared" si="19"/>
        <v>Pune</v>
      </c>
      <c r="E638" t="s">
        <v>26</v>
      </c>
      <c r="F638">
        <v>1.43</v>
      </c>
    </row>
    <row r="639" spans="1:6">
      <c r="A639" s="1">
        <v>44621</v>
      </c>
      <c r="B639" s="1" t="str">
        <f t="shared" si="18"/>
        <v>Before 5G</v>
      </c>
      <c r="C639">
        <v>380001</v>
      </c>
      <c r="D639" t="str">
        <f t="shared" si="19"/>
        <v>Ahmedabad</v>
      </c>
      <c r="E639" t="s">
        <v>26</v>
      </c>
      <c r="F639">
        <v>1.64</v>
      </c>
    </row>
    <row r="640" spans="1:6">
      <c r="A640" s="1">
        <v>44621</v>
      </c>
      <c r="B640" s="1" t="str">
        <f t="shared" si="18"/>
        <v>Before 5G</v>
      </c>
      <c r="C640">
        <v>302001</v>
      </c>
      <c r="D640" t="str">
        <f t="shared" si="19"/>
        <v>Jaipur</v>
      </c>
      <c r="E640" t="s">
        <v>26</v>
      </c>
      <c r="F640">
        <v>0.68</v>
      </c>
    </row>
    <row r="641" spans="1:6">
      <c r="A641" s="1">
        <v>44621</v>
      </c>
      <c r="B641" s="1" t="str">
        <f t="shared" si="18"/>
        <v>Before 5G</v>
      </c>
      <c r="C641">
        <v>226001</v>
      </c>
      <c r="D641" t="str">
        <f t="shared" si="19"/>
        <v>Lucknow</v>
      </c>
      <c r="E641" t="s">
        <v>26</v>
      </c>
      <c r="F641">
        <v>0.8</v>
      </c>
    </row>
    <row r="642" spans="1:6">
      <c r="A642" s="1">
        <v>44621</v>
      </c>
      <c r="B642" s="1" t="str">
        <f t="shared" si="18"/>
        <v>Before 5G</v>
      </c>
      <c r="C642">
        <v>800008</v>
      </c>
      <c r="D642" t="str">
        <f t="shared" si="19"/>
        <v>Patna</v>
      </c>
      <c r="E642" t="s">
        <v>26</v>
      </c>
      <c r="F642">
        <v>0.37</v>
      </c>
    </row>
    <row r="643" spans="1:6">
      <c r="A643" s="1">
        <v>44621</v>
      </c>
      <c r="B643" s="1" t="str">
        <f t="shared" ref="B643:B706" si="20">VLOOKUP(A643,$H$2:$K$9,3,FALSE)</f>
        <v>Before 5G</v>
      </c>
      <c r="C643">
        <v>641001</v>
      </c>
      <c r="D643" t="str">
        <f t="shared" ref="D643:D706" si="21">VLOOKUP(C643,$M$2:$N$16,2,FALSE)</f>
        <v>Coimbatore</v>
      </c>
      <c r="E643" t="s">
        <v>26</v>
      </c>
      <c r="F643">
        <v>0.77</v>
      </c>
    </row>
    <row r="644" spans="1:6">
      <c r="A644" s="1">
        <v>44621</v>
      </c>
      <c r="B644" s="1" t="str">
        <f t="shared" si="20"/>
        <v>Before 5G</v>
      </c>
      <c r="C644">
        <v>160017</v>
      </c>
      <c r="D644" t="str">
        <f t="shared" si="21"/>
        <v>Chandigarh</v>
      </c>
      <c r="E644" t="s">
        <v>26</v>
      </c>
      <c r="F644">
        <v>0.43</v>
      </c>
    </row>
    <row r="645" spans="1:6">
      <c r="A645" s="1">
        <v>44621</v>
      </c>
      <c r="B645" s="1" t="str">
        <f t="shared" si="20"/>
        <v>Before 5G</v>
      </c>
      <c r="C645">
        <v>122001</v>
      </c>
      <c r="D645" t="str">
        <f t="shared" si="21"/>
        <v>Gurgaon</v>
      </c>
      <c r="E645" t="s">
        <v>26</v>
      </c>
      <c r="F645">
        <v>0.25</v>
      </c>
    </row>
    <row r="646" spans="1:6">
      <c r="A646" s="1">
        <v>44621</v>
      </c>
      <c r="B646" s="1" t="str">
        <f t="shared" si="20"/>
        <v>Before 5G</v>
      </c>
      <c r="C646">
        <v>492001</v>
      </c>
      <c r="D646" t="str">
        <f t="shared" si="21"/>
        <v>Raipur</v>
      </c>
      <c r="E646" t="s">
        <v>26</v>
      </c>
      <c r="F646">
        <v>0.19</v>
      </c>
    </row>
    <row r="647" spans="1:6">
      <c r="A647" s="1">
        <v>44652</v>
      </c>
      <c r="B647" s="1" t="str">
        <f t="shared" si="20"/>
        <v>Before 5G</v>
      </c>
      <c r="C647">
        <v>400001</v>
      </c>
      <c r="D647" t="str">
        <f t="shared" si="21"/>
        <v>Mumbai</v>
      </c>
      <c r="E647" t="s">
        <v>26</v>
      </c>
      <c r="F647">
        <v>2.72</v>
      </c>
    </row>
    <row r="648" spans="1:6">
      <c r="A648" s="1">
        <v>44652</v>
      </c>
      <c r="B648" s="1" t="str">
        <f t="shared" si="20"/>
        <v>Before 5G</v>
      </c>
      <c r="C648">
        <v>110001</v>
      </c>
      <c r="D648" t="str">
        <f t="shared" si="21"/>
        <v>Delhi</v>
      </c>
      <c r="E648" t="s">
        <v>26</v>
      </c>
      <c r="F648">
        <v>1.64</v>
      </c>
    </row>
    <row r="649" spans="1:6">
      <c r="A649" s="1">
        <v>44652</v>
      </c>
      <c r="B649" s="1" t="str">
        <f t="shared" si="20"/>
        <v>Before 5G</v>
      </c>
      <c r="C649">
        <v>700001</v>
      </c>
      <c r="D649" t="str">
        <f t="shared" si="21"/>
        <v>Kolkata</v>
      </c>
      <c r="E649" t="s">
        <v>26</v>
      </c>
      <c r="F649">
        <v>2.33</v>
      </c>
    </row>
    <row r="650" spans="1:6">
      <c r="A650" s="1">
        <v>44652</v>
      </c>
      <c r="B650" s="1" t="str">
        <f t="shared" si="20"/>
        <v>Before 5G</v>
      </c>
      <c r="C650">
        <v>560001</v>
      </c>
      <c r="D650" t="str">
        <f t="shared" si="21"/>
        <v>Bangalore</v>
      </c>
      <c r="E650" t="s">
        <v>26</v>
      </c>
      <c r="F650">
        <v>2.56</v>
      </c>
    </row>
    <row r="651" spans="1:6">
      <c r="A651" s="1">
        <v>44652</v>
      </c>
      <c r="B651" s="1" t="str">
        <f t="shared" si="20"/>
        <v>Before 5G</v>
      </c>
      <c r="C651">
        <v>600001</v>
      </c>
      <c r="D651" t="str">
        <f t="shared" si="21"/>
        <v>Chennai</v>
      </c>
      <c r="E651" t="s">
        <v>26</v>
      </c>
      <c r="F651">
        <v>1.84</v>
      </c>
    </row>
    <row r="652" spans="1:6">
      <c r="A652" s="1">
        <v>44652</v>
      </c>
      <c r="B652" s="1" t="str">
        <f t="shared" si="20"/>
        <v>Before 5G</v>
      </c>
      <c r="C652">
        <v>500001</v>
      </c>
      <c r="D652" t="str">
        <f t="shared" si="21"/>
        <v>Hyderabad</v>
      </c>
      <c r="E652" t="s">
        <v>26</v>
      </c>
      <c r="F652">
        <v>1.03</v>
      </c>
    </row>
    <row r="653" spans="1:6">
      <c r="A653" s="1">
        <v>44652</v>
      </c>
      <c r="B653" s="1" t="str">
        <f t="shared" si="20"/>
        <v>Before 5G</v>
      </c>
      <c r="C653">
        <v>411001</v>
      </c>
      <c r="D653" t="str">
        <f t="shared" si="21"/>
        <v>Pune</v>
      </c>
      <c r="E653" t="s">
        <v>26</v>
      </c>
      <c r="F653">
        <v>1.95</v>
      </c>
    </row>
    <row r="654" spans="1:6">
      <c r="A654" s="1">
        <v>44652</v>
      </c>
      <c r="B654" s="1" t="str">
        <f t="shared" si="20"/>
        <v>Before 5G</v>
      </c>
      <c r="C654">
        <v>380001</v>
      </c>
      <c r="D654" t="str">
        <f t="shared" si="21"/>
        <v>Ahmedabad</v>
      </c>
      <c r="E654" t="s">
        <v>26</v>
      </c>
      <c r="F654">
        <v>1.33</v>
      </c>
    </row>
    <row r="655" spans="1:6">
      <c r="A655" s="1">
        <v>44652</v>
      </c>
      <c r="B655" s="1" t="str">
        <f t="shared" si="20"/>
        <v>Before 5G</v>
      </c>
      <c r="C655">
        <v>302001</v>
      </c>
      <c r="D655" t="str">
        <f t="shared" si="21"/>
        <v>Jaipur</v>
      </c>
      <c r="E655" t="s">
        <v>26</v>
      </c>
      <c r="F655">
        <v>0.7</v>
      </c>
    </row>
    <row r="656" spans="1:6">
      <c r="A656" s="1">
        <v>44652</v>
      </c>
      <c r="B656" s="1" t="str">
        <f t="shared" si="20"/>
        <v>Before 5G</v>
      </c>
      <c r="C656">
        <v>226001</v>
      </c>
      <c r="D656" t="str">
        <f t="shared" si="21"/>
        <v>Lucknow</v>
      </c>
      <c r="E656" t="s">
        <v>26</v>
      </c>
      <c r="F656">
        <v>0.72</v>
      </c>
    </row>
    <row r="657" spans="1:6">
      <c r="A657" s="1">
        <v>44652</v>
      </c>
      <c r="B657" s="1" t="str">
        <f t="shared" si="20"/>
        <v>Before 5G</v>
      </c>
      <c r="C657">
        <v>800008</v>
      </c>
      <c r="D657" t="str">
        <f t="shared" si="21"/>
        <v>Patna</v>
      </c>
      <c r="E657" t="s">
        <v>26</v>
      </c>
      <c r="F657">
        <v>0.51</v>
      </c>
    </row>
    <row r="658" spans="1:6">
      <c r="A658" s="1">
        <v>44652</v>
      </c>
      <c r="B658" s="1" t="str">
        <f t="shared" si="20"/>
        <v>Before 5G</v>
      </c>
      <c r="C658">
        <v>641001</v>
      </c>
      <c r="D658" t="str">
        <f t="shared" si="21"/>
        <v>Coimbatore</v>
      </c>
      <c r="E658" t="s">
        <v>26</v>
      </c>
      <c r="F658">
        <v>0.41</v>
      </c>
    </row>
    <row r="659" spans="1:6">
      <c r="A659" s="1">
        <v>44652</v>
      </c>
      <c r="B659" s="1" t="str">
        <f t="shared" si="20"/>
        <v>Before 5G</v>
      </c>
      <c r="C659">
        <v>160017</v>
      </c>
      <c r="D659" t="str">
        <f t="shared" si="21"/>
        <v>Chandigarh</v>
      </c>
      <c r="E659" t="s">
        <v>26</v>
      </c>
      <c r="F659">
        <v>0.5</v>
      </c>
    </row>
    <row r="660" spans="1:6">
      <c r="A660" s="1">
        <v>44652</v>
      </c>
      <c r="B660" s="1" t="str">
        <f t="shared" si="20"/>
        <v>Before 5G</v>
      </c>
      <c r="C660">
        <v>122001</v>
      </c>
      <c r="D660" t="str">
        <f t="shared" si="21"/>
        <v>Gurgaon</v>
      </c>
      <c r="E660" t="s">
        <v>26</v>
      </c>
      <c r="F660">
        <v>0.22</v>
      </c>
    </row>
    <row r="661" spans="1:6">
      <c r="A661" s="1">
        <v>44652</v>
      </c>
      <c r="B661" s="1" t="str">
        <f t="shared" si="20"/>
        <v>Before 5G</v>
      </c>
      <c r="C661">
        <v>492001</v>
      </c>
      <c r="D661" t="str">
        <f t="shared" si="21"/>
        <v>Raipur</v>
      </c>
      <c r="E661" t="s">
        <v>26</v>
      </c>
      <c r="F661">
        <v>0.22</v>
      </c>
    </row>
    <row r="662" spans="1:6">
      <c r="A662" s="1">
        <v>44713</v>
      </c>
      <c r="B662" s="1" t="str">
        <f t="shared" si="20"/>
        <v>After 5G</v>
      </c>
      <c r="C662">
        <v>400001</v>
      </c>
      <c r="D662" t="str">
        <f t="shared" si="21"/>
        <v>Mumbai</v>
      </c>
      <c r="E662" t="s">
        <v>26</v>
      </c>
      <c r="F662">
        <v>1.81</v>
      </c>
    </row>
    <row r="663" spans="1:6">
      <c r="A663" s="1">
        <v>44713</v>
      </c>
      <c r="B663" s="1" t="str">
        <f t="shared" si="20"/>
        <v>After 5G</v>
      </c>
      <c r="C663">
        <v>110001</v>
      </c>
      <c r="D663" t="str">
        <f t="shared" si="21"/>
        <v>Delhi</v>
      </c>
      <c r="E663" t="s">
        <v>26</v>
      </c>
      <c r="F663">
        <v>1.18</v>
      </c>
    </row>
    <row r="664" spans="1:6">
      <c r="A664" s="1">
        <v>44713</v>
      </c>
      <c r="B664" s="1" t="str">
        <f t="shared" si="20"/>
        <v>After 5G</v>
      </c>
      <c r="C664">
        <v>700001</v>
      </c>
      <c r="D664" t="str">
        <f t="shared" si="21"/>
        <v>Kolkata</v>
      </c>
      <c r="E664" t="s">
        <v>26</v>
      </c>
      <c r="F664">
        <v>1.07</v>
      </c>
    </row>
    <row r="665" spans="1:6">
      <c r="A665" s="1">
        <v>44713</v>
      </c>
      <c r="B665" s="1" t="str">
        <f t="shared" si="20"/>
        <v>After 5G</v>
      </c>
      <c r="C665">
        <v>560001</v>
      </c>
      <c r="D665" t="str">
        <f t="shared" si="21"/>
        <v>Bangalore</v>
      </c>
      <c r="E665" t="s">
        <v>26</v>
      </c>
      <c r="F665">
        <v>1.29</v>
      </c>
    </row>
    <row r="666" spans="1:6">
      <c r="A666" s="1">
        <v>44713</v>
      </c>
      <c r="B666" s="1" t="str">
        <f t="shared" si="20"/>
        <v>After 5G</v>
      </c>
      <c r="C666">
        <v>600001</v>
      </c>
      <c r="D666" t="str">
        <f t="shared" si="21"/>
        <v>Chennai</v>
      </c>
      <c r="E666" t="s">
        <v>26</v>
      </c>
      <c r="F666">
        <v>1.06</v>
      </c>
    </row>
    <row r="667" spans="1:6">
      <c r="A667" s="1">
        <v>44713</v>
      </c>
      <c r="B667" s="1" t="str">
        <f t="shared" si="20"/>
        <v>After 5G</v>
      </c>
      <c r="C667">
        <v>500001</v>
      </c>
      <c r="D667" t="str">
        <f t="shared" si="21"/>
        <v>Hyderabad</v>
      </c>
      <c r="E667" t="s">
        <v>26</v>
      </c>
      <c r="F667">
        <v>0.99</v>
      </c>
    </row>
    <row r="668" spans="1:6">
      <c r="A668" s="1">
        <v>44713</v>
      </c>
      <c r="B668" s="1" t="str">
        <f t="shared" si="20"/>
        <v>After 5G</v>
      </c>
      <c r="C668">
        <v>411001</v>
      </c>
      <c r="D668" t="str">
        <f t="shared" si="21"/>
        <v>Pune</v>
      </c>
      <c r="E668" t="s">
        <v>26</v>
      </c>
      <c r="F668">
        <v>0.63</v>
      </c>
    </row>
    <row r="669" spans="1:6">
      <c r="A669" s="1">
        <v>44713</v>
      </c>
      <c r="B669" s="1" t="str">
        <f t="shared" si="20"/>
        <v>After 5G</v>
      </c>
      <c r="C669">
        <v>380001</v>
      </c>
      <c r="D669" t="str">
        <f t="shared" si="21"/>
        <v>Ahmedabad</v>
      </c>
      <c r="E669" t="s">
        <v>26</v>
      </c>
      <c r="F669">
        <v>0.73</v>
      </c>
    </row>
    <row r="670" spans="1:6">
      <c r="A670" s="1">
        <v>44713</v>
      </c>
      <c r="B670" s="1" t="str">
        <f t="shared" si="20"/>
        <v>After 5G</v>
      </c>
      <c r="C670">
        <v>302001</v>
      </c>
      <c r="D670" t="str">
        <f t="shared" si="21"/>
        <v>Jaipur</v>
      </c>
      <c r="E670" t="s">
        <v>26</v>
      </c>
      <c r="F670">
        <v>0.65</v>
      </c>
    </row>
    <row r="671" spans="1:6">
      <c r="A671" s="1">
        <v>44713</v>
      </c>
      <c r="B671" s="1" t="str">
        <f t="shared" si="20"/>
        <v>After 5G</v>
      </c>
      <c r="C671">
        <v>226001</v>
      </c>
      <c r="D671" t="str">
        <f t="shared" si="21"/>
        <v>Lucknow</v>
      </c>
      <c r="E671" t="s">
        <v>26</v>
      </c>
      <c r="F671">
        <v>0.28999999999999998</v>
      </c>
    </row>
    <row r="672" spans="1:6">
      <c r="A672" s="1">
        <v>44713</v>
      </c>
      <c r="B672" s="1" t="str">
        <f t="shared" si="20"/>
        <v>After 5G</v>
      </c>
      <c r="C672">
        <v>800008</v>
      </c>
      <c r="D672" t="str">
        <f t="shared" si="21"/>
        <v>Patna</v>
      </c>
      <c r="E672" t="s">
        <v>26</v>
      </c>
      <c r="F672">
        <v>0.52</v>
      </c>
    </row>
    <row r="673" spans="1:6">
      <c r="A673" s="1">
        <v>44713</v>
      </c>
      <c r="B673" s="1" t="str">
        <f t="shared" si="20"/>
        <v>After 5G</v>
      </c>
      <c r="C673">
        <v>641001</v>
      </c>
      <c r="D673" t="str">
        <f t="shared" si="21"/>
        <v>Coimbatore</v>
      </c>
      <c r="E673" t="s">
        <v>26</v>
      </c>
      <c r="F673">
        <v>0.19</v>
      </c>
    </row>
    <row r="674" spans="1:6">
      <c r="A674" s="1">
        <v>44713</v>
      </c>
      <c r="B674" s="1" t="str">
        <f t="shared" si="20"/>
        <v>After 5G</v>
      </c>
      <c r="C674">
        <v>160017</v>
      </c>
      <c r="D674" t="str">
        <f t="shared" si="21"/>
        <v>Chandigarh</v>
      </c>
      <c r="E674" t="s">
        <v>26</v>
      </c>
      <c r="F674">
        <v>0.2</v>
      </c>
    </row>
    <row r="675" spans="1:6">
      <c r="A675" s="1">
        <v>44713</v>
      </c>
      <c r="B675" s="1" t="str">
        <f t="shared" si="20"/>
        <v>After 5G</v>
      </c>
      <c r="C675">
        <v>122001</v>
      </c>
      <c r="D675" t="str">
        <f t="shared" si="21"/>
        <v>Gurgaon</v>
      </c>
      <c r="E675" t="s">
        <v>26</v>
      </c>
      <c r="F675">
        <v>0.16</v>
      </c>
    </row>
    <row r="676" spans="1:6">
      <c r="A676" s="1">
        <v>44713</v>
      </c>
      <c r="B676" s="1" t="str">
        <f t="shared" si="20"/>
        <v>After 5G</v>
      </c>
      <c r="C676">
        <v>492001</v>
      </c>
      <c r="D676" t="str">
        <f t="shared" si="21"/>
        <v>Raipur</v>
      </c>
      <c r="E676" t="s">
        <v>26</v>
      </c>
      <c r="F676">
        <v>0.15</v>
      </c>
    </row>
    <row r="677" spans="1:6">
      <c r="A677" s="1">
        <v>44743</v>
      </c>
      <c r="B677" s="1" t="str">
        <f t="shared" si="20"/>
        <v>After 5G</v>
      </c>
      <c r="C677">
        <v>400001</v>
      </c>
      <c r="D677" t="str">
        <f t="shared" si="21"/>
        <v>Mumbai</v>
      </c>
      <c r="E677" t="s">
        <v>26</v>
      </c>
      <c r="F677">
        <v>2.23</v>
      </c>
    </row>
    <row r="678" spans="1:6">
      <c r="A678" s="1">
        <v>44743</v>
      </c>
      <c r="B678" s="1" t="str">
        <f t="shared" si="20"/>
        <v>After 5G</v>
      </c>
      <c r="C678">
        <v>110001</v>
      </c>
      <c r="D678" t="str">
        <f t="shared" si="21"/>
        <v>Delhi</v>
      </c>
      <c r="E678" t="s">
        <v>26</v>
      </c>
      <c r="F678">
        <v>1.46</v>
      </c>
    </row>
    <row r="679" spans="1:6">
      <c r="A679" s="1">
        <v>44743</v>
      </c>
      <c r="B679" s="1" t="str">
        <f t="shared" si="20"/>
        <v>After 5G</v>
      </c>
      <c r="C679">
        <v>700001</v>
      </c>
      <c r="D679" t="str">
        <f t="shared" si="21"/>
        <v>Kolkata</v>
      </c>
      <c r="E679" t="s">
        <v>26</v>
      </c>
      <c r="F679">
        <v>1.23</v>
      </c>
    </row>
    <row r="680" spans="1:6">
      <c r="A680" s="1">
        <v>44743</v>
      </c>
      <c r="B680" s="1" t="str">
        <f t="shared" si="20"/>
        <v>After 5G</v>
      </c>
      <c r="C680">
        <v>560001</v>
      </c>
      <c r="D680" t="str">
        <f t="shared" si="21"/>
        <v>Bangalore</v>
      </c>
      <c r="E680" t="s">
        <v>26</v>
      </c>
      <c r="F680">
        <v>1.46</v>
      </c>
    </row>
    <row r="681" spans="1:6">
      <c r="A681" s="1">
        <v>44743</v>
      </c>
      <c r="B681" s="1" t="str">
        <f t="shared" si="20"/>
        <v>After 5G</v>
      </c>
      <c r="C681">
        <v>600001</v>
      </c>
      <c r="D681" t="str">
        <f t="shared" si="21"/>
        <v>Chennai</v>
      </c>
      <c r="E681" t="s">
        <v>26</v>
      </c>
      <c r="F681">
        <v>1.99</v>
      </c>
    </row>
    <row r="682" spans="1:6">
      <c r="A682" s="1">
        <v>44743</v>
      </c>
      <c r="B682" s="1" t="str">
        <f t="shared" si="20"/>
        <v>After 5G</v>
      </c>
      <c r="C682">
        <v>500001</v>
      </c>
      <c r="D682" t="str">
        <f t="shared" si="21"/>
        <v>Hyderabad</v>
      </c>
      <c r="E682" t="s">
        <v>26</v>
      </c>
      <c r="F682">
        <v>1.22</v>
      </c>
    </row>
    <row r="683" spans="1:6">
      <c r="A683" s="1">
        <v>44743</v>
      </c>
      <c r="B683" s="1" t="str">
        <f t="shared" si="20"/>
        <v>After 5G</v>
      </c>
      <c r="C683">
        <v>411001</v>
      </c>
      <c r="D683" t="str">
        <f t="shared" si="21"/>
        <v>Pune</v>
      </c>
      <c r="E683" t="s">
        <v>26</v>
      </c>
      <c r="F683">
        <v>0.81</v>
      </c>
    </row>
    <row r="684" spans="1:6">
      <c r="A684" s="1">
        <v>44743</v>
      </c>
      <c r="B684" s="1" t="str">
        <f t="shared" si="20"/>
        <v>After 5G</v>
      </c>
      <c r="C684">
        <v>380001</v>
      </c>
      <c r="D684" t="str">
        <f t="shared" si="21"/>
        <v>Ahmedabad</v>
      </c>
      <c r="E684" t="s">
        <v>26</v>
      </c>
      <c r="F684">
        <v>0.56000000000000005</v>
      </c>
    </row>
    <row r="685" spans="1:6">
      <c r="A685" s="1">
        <v>44743</v>
      </c>
      <c r="B685" s="1" t="str">
        <f t="shared" si="20"/>
        <v>After 5G</v>
      </c>
      <c r="C685">
        <v>302001</v>
      </c>
      <c r="D685" t="str">
        <f t="shared" si="21"/>
        <v>Jaipur</v>
      </c>
      <c r="E685" t="s">
        <v>26</v>
      </c>
      <c r="F685">
        <v>0.44</v>
      </c>
    </row>
    <row r="686" spans="1:6">
      <c r="A686" s="1">
        <v>44743</v>
      </c>
      <c r="B686" s="1" t="str">
        <f t="shared" si="20"/>
        <v>After 5G</v>
      </c>
      <c r="C686">
        <v>226001</v>
      </c>
      <c r="D686" t="str">
        <f t="shared" si="21"/>
        <v>Lucknow</v>
      </c>
      <c r="E686" t="s">
        <v>26</v>
      </c>
      <c r="F686">
        <v>0.73</v>
      </c>
    </row>
    <row r="687" spans="1:6">
      <c r="A687" s="1">
        <v>44743</v>
      </c>
      <c r="B687" s="1" t="str">
        <f t="shared" si="20"/>
        <v>After 5G</v>
      </c>
      <c r="C687">
        <v>800008</v>
      </c>
      <c r="D687" t="str">
        <f t="shared" si="21"/>
        <v>Patna</v>
      </c>
      <c r="E687" t="s">
        <v>26</v>
      </c>
      <c r="F687">
        <v>0.4</v>
      </c>
    </row>
    <row r="688" spans="1:6">
      <c r="A688" s="1">
        <v>44743</v>
      </c>
      <c r="B688" s="1" t="str">
        <f t="shared" si="20"/>
        <v>After 5G</v>
      </c>
      <c r="C688">
        <v>641001</v>
      </c>
      <c r="D688" t="str">
        <f t="shared" si="21"/>
        <v>Coimbatore</v>
      </c>
      <c r="E688" t="s">
        <v>26</v>
      </c>
      <c r="F688">
        <v>0.33</v>
      </c>
    </row>
    <row r="689" spans="1:6">
      <c r="A689" s="1">
        <v>44743</v>
      </c>
      <c r="B689" s="1" t="str">
        <f t="shared" si="20"/>
        <v>After 5G</v>
      </c>
      <c r="C689">
        <v>160017</v>
      </c>
      <c r="D689" t="str">
        <f t="shared" si="21"/>
        <v>Chandigarh</v>
      </c>
      <c r="E689" t="s">
        <v>26</v>
      </c>
      <c r="F689">
        <v>0.19</v>
      </c>
    </row>
    <row r="690" spans="1:6">
      <c r="A690" s="1">
        <v>44743</v>
      </c>
      <c r="B690" s="1" t="str">
        <f t="shared" si="20"/>
        <v>After 5G</v>
      </c>
      <c r="C690">
        <v>122001</v>
      </c>
      <c r="D690" t="str">
        <f t="shared" si="21"/>
        <v>Gurgaon</v>
      </c>
      <c r="E690" t="s">
        <v>26</v>
      </c>
      <c r="F690">
        <v>0.26</v>
      </c>
    </row>
    <row r="691" spans="1:6">
      <c r="A691" s="1">
        <v>44743</v>
      </c>
      <c r="B691" s="1" t="str">
        <f t="shared" si="20"/>
        <v>After 5G</v>
      </c>
      <c r="C691">
        <v>492001</v>
      </c>
      <c r="D691" t="str">
        <f t="shared" si="21"/>
        <v>Raipur</v>
      </c>
      <c r="E691" t="s">
        <v>26</v>
      </c>
      <c r="F691">
        <v>0.17</v>
      </c>
    </row>
    <row r="692" spans="1:6">
      <c r="A692" s="1">
        <v>44774</v>
      </c>
      <c r="B692" s="1" t="str">
        <f t="shared" si="20"/>
        <v>After 5G</v>
      </c>
      <c r="C692">
        <v>400001</v>
      </c>
      <c r="D692" t="str">
        <f t="shared" si="21"/>
        <v>Mumbai</v>
      </c>
      <c r="E692" t="s">
        <v>26</v>
      </c>
      <c r="F692">
        <v>1.42</v>
      </c>
    </row>
    <row r="693" spans="1:6">
      <c r="A693" s="1">
        <v>44774</v>
      </c>
      <c r="B693" s="1" t="str">
        <f t="shared" si="20"/>
        <v>After 5G</v>
      </c>
      <c r="C693">
        <v>110001</v>
      </c>
      <c r="D693" t="str">
        <f t="shared" si="21"/>
        <v>Delhi</v>
      </c>
      <c r="E693" t="s">
        <v>26</v>
      </c>
      <c r="F693">
        <v>1.31</v>
      </c>
    </row>
    <row r="694" spans="1:6">
      <c r="A694" s="1">
        <v>44774</v>
      </c>
      <c r="B694" s="1" t="str">
        <f t="shared" si="20"/>
        <v>After 5G</v>
      </c>
      <c r="C694">
        <v>700001</v>
      </c>
      <c r="D694" t="str">
        <f t="shared" si="21"/>
        <v>Kolkata</v>
      </c>
      <c r="E694" t="s">
        <v>26</v>
      </c>
      <c r="F694">
        <v>2.1800000000000002</v>
      </c>
    </row>
    <row r="695" spans="1:6">
      <c r="A695" s="1">
        <v>44774</v>
      </c>
      <c r="B695" s="1" t="str">
        <f t="shared" si="20"/>
        <v>After 5G</v>
      </c>
      <c r="C695">
        <v>560001</v>
      </c>
      <c r="D695" t="str">
        <f t="shared" si="21"/>
        <v>Bangalore</v>
      </c>
      <c r="E695" t="s">
        <v>26</v>
      </c>
      <c r="F695">
        <v>1.17</v>
      </c>
    </row>
    <row r="696" spans="1:6">
      <c r="A696" s="1">
        <v>44774</v>
      </c>
      <c r="B696" s="1" t="str">
        <f t="shared" si="20"/>
        <v>After 5G</v>
      </c>
      <c r="C696">
        <v>600001</v>
      </c>
      <c r="D696" t="str">
        <f t="shared" si="21"/>
        <v>Chennai</v>
      </c>
      <c r="E696" t="s">
        <v>26</v>
      </c>
      <c r="F696">
        <v>0.97</v>
      </c>
    </row>
    <row r="697" spans="1:6">
      <c r="A697" s="1">
        <v>44774</v>
      </c>
      <c r="B697" s="1" t="str">
        <f t="shared" si="20"/>
        <v>After 5G</v>
      </c>
      <c r="C697">
        <v>500001</v>
      </c>
      <c r="D697" t="str">
        <f t="shared" si="21"/>
        <v>Hyderabad</v>
      </c>
      <c r="E697" t="s">
        <v>26</v>
      </c>
      <c r="F697">
        <v>0.99</v>
      </c>
    </row>
    <row r="698" spans="1:6">
      <c r="A698" s="1">
        <v>44774</v>
      </c>
      <c r="B698" s="1" t="str">
        <f t="shared" si="20"/>
        <v>After 5G</v>
      </c>
      <c r="C698">
        <v>411001</v>
      </c>
      <c r="D698" t="str">
        <f t="shared" si="21"/>
        <v>Pune</v>
      </c>
      <c r="E698" t="s">
        <v>26</v>
      </c>
      <c r="F698">
        <v>1.02</v>
      </c>
    </row>
    <row r="699" spans="1:6">
      <c r="A699" s="1">
        <v>44774</v>
      </c>
      <c r="B699" s="1" t="str">
        <f t="shared" si="20"/>
        <v>After 5G</v>
      </c>
      <c r="C699">
        <v>380001</v>
      </c>
      <c r="D699" t="str">
        <f t="shared" si="21"/>
        <v>Ahmedabad</v>
      </c>
      <c r="E699" t="s">
        <v>26</v>
      </c>
      <c r="F699">
        <v>0.77</v>
      </c>
    </row>
    <row r="700" spans="1:6">
      <c r="A700" s="1">
        <v>44774</v>
      </c>
      <c r="B700" s="1" t="str">
        <f t="shared" si="20"/>
        <v>After 5G</v>
      </c>
      <c r="C700">
        <v>302001</v>
      </c>
      <c r="D700" t="str">
        <f t="shared" si="21"/>
        <v>Jaipur</v>
      </c>
      <c r="E700" t="s">
        <v>26</v>
      </c>
      <c r="F700">
        <v>0.66</v>
      </c>
    </row>
    <row r="701" spans="1:6">
      <c r="A701" s="1">
        <v>44774</v>
      </c>
      <c r="B701" s="1" t="str">
        <f t="shared" si="20"/>
        <v>After 5G</v>
      </c>
      <c r="C701">
        <v>226001</v>
      </c>
      <c r="D701" t="str">
        <f t="shared" si="21"/>
        <v>Lucknow</v>
      </c>
      <c r="E701" t="s">
        <v>26</v>
      </c>
      <c r="F701">
        <v>0.55000000000000004</v>
      </c>
    </row>
    <row r="702" spans="1:6">
      <c r="A702" s="1">
        <v>44774</v>
      </c>
      <c r="B702" s="1" t="str">
        <f t="shared" si="20"/>
        <v>After 5G</v>
      </c>
      <c r="C702">
        <v>800008</v>
      </c>
      <c r="D702" t="str">
        <f t="shared" si="21"/>
        <v>Patna</v>
      </c>
      <c r="E702" t="s">
        <v>26</v>
      </c>
      <c r="F702">
        <v>0.34</v>
      </c>
    </row>
    <row r="703" spans="1:6">
      <c r="A703" s="1">
        <v>44774</v>
      </c>
      <c r="B703" s="1" t="str">
        <f t="shared" si="20"/>
        <v>After 5G</v>
      </c>
      <c r="C703">
        <v>641001</v>
      </c>
      <c r="D703" t="str">
        <f t="shared" si="21"/>
        <v>Coimbatore</v>
      </c>
      <c r="E703" t="s">
        <v>26</v>
      </c>
      <c r="F703">
        <v>0.61</v>
      </c>
    </row>
    <row r="704" spans="1:6">
      <c r="A704" s="1">
        <v>44774</v>
      </c>
      <c r="B704" s="1" t="str">
        <f t="shared" si="20"/>
        <v>After 5G</v>
      </c>
      <c r="C704">
        <v>160017</v>
      </c>
      <c r="D704" t="str">
        <f t="shared" si="21"/>
        <v>Chandigarh</v>
      </c>
      <c r="E704" t="s">
        <v>26</v>
      </c>
      <c r="F704">
        <v>0.27</v>
      </c>
    </row>
    <row r="705" spans="1:6">
      <c r="A705" s="1">
        <v>44774</v>
      </c>
      <c r="B705" s="1" t="str">
        <f t="shared" si="20"/>
        <v>After 5G</v>
      </c>
      <c r="C705">
        <v>122001</v>
      </c>
      <c r="D705" t="str">
        <f t="shared" si="21"/>
        <v>Gurgaon</v>
      </c>
      <c r="E705" t="s">
        <v>26</v>
      </c>
      <c r="F705">
        <v>0.16</v>
      </c>
    </row>
    <row r="706" spans="1:6">
      <c r="A706" s="1">
        <v>44774</v>
      </c>
      <c r="B706" s="1" t="str">
        <f t="shared" si="20"/>
        <v>After 5G</v>
      </c>
      <c r="C706">
        <v>492001</v>
      </c>
      <c r="D706" t="str">
        <f t="shared" si="21"/>
        <v>Raipur</v>
      </c>
      <c r="E706" t="s">
        <v>26</v>
      </c>
      <c r="F706">
        <v>0.13</v>
      </c>
    </row>
    <row r="707" spans="1:6">
      <c r="A707" s="1">
        <v>44805</v>
      </c>
      <c r="B707" s="1" t="str">
        <f t="shared" ref="B707:B770" si="22">VLOOKUP(A707,$H$2:$K$9,3,FALSE)</f>
        <v>After 5G</v>
      </c>
      <c r="C707">
        <v>400001</v>
      </c>
      <c r="D707" t="str">
        <f t="shared" ref="D707:D770" si="23">VLOOKUP(C707,$M$2:$N$16,2,FALSE)</f>
        <v>Mumbai</v>
      </c>
      <c r="E707" t="s">
        <v>26</v>
      </c>
      <c r="F707">
        <v>1.9</v>
      </c>
    </row>
    <row r="708" spans="1:6">
      <c r="A708" s="1">
        <v>44805</v>
      </c>
      <c r="B708" s="1" t="str">
        <f t="shared" si="22"/>
        <v>After 5G</v>
      </c>
      <c r="C708">
        <v>110001</v>
      </c>
      <c r="D708" t="str">
        <f t="shared" si="23"/>
        <v>Delhi</v>
      </c>
      <c r="E708" t="s">
        <v>26</v>
      </c>
      <c r="F708">
        <v>1.82</v>
      </c>
    </row>
    <row r="709" spans="1:6">
      <c r="A709" s="1">
        <v>44805</v>
      </c>
      <c r="B709" s="1" t="str">
        <f t="shared" si="22"/>
        <v>After 5G</v>
      </c>
      <c r="C709">
        <v>700001</v>
      </c>
      <c r="D709" t="str">
        <f t="shared" si="23"/>
        <v>Kolkata</v>
      </c>
      <c r="E709" t="s">
        <v>26</v>
      </c>
      <c r="F709">
        <v>1.56</v>
      </c>
    </row>
    <row r="710" spans="1:6">
      <c r="A710" s="1">
        <v>44805</v>
      </c>
      <c r="B710" s="1" t="str">
        <f t="shared" si="22"/>
        <v>After 5G</v>
      </c>
      <c r="C710">
        <v>560001</v>
      </c>
      <c r="D710" t="str">
        <f t="shared" si="23"/>
        <v>Bangalore</v>
      </c>
      <c r="E710" t="s">
        <v>26</v>
      </c>
      <c r="F710">
        <v>1.18</v>
      </c>
    </row>
    <row r="711" spans="1:6">
      <c r="A711" s="1">
        <v>44805</v>
      </c>
      <c r="B711" s="1" t="str">
        <f t="shared" si="22"/>
        <v>After 5G</v>
      </c>
      <c r="C711">
        <v>600001</v>
      </c>
      <c r="D711" t="str">
        <f t="shared" si="23"/>
        <v>Chennai</v>
      </c>
      <c r="E711" t="s">
        <v>26</v>
      </c>
      <c r="F711">
        <v>0.79</v>
      </c>
    </row>
    <row r="712" spans="1:6">
      <c r="A712" s="1">
        <v>44805</v>
      </c>
      <c r="B712" s="1" t="str">
        <f t="shared" si="22"/>
        <v>After 5G</v>
      </c>
      <c r="C712">
        <v>500001</v>
      </c>
      <c r="D712" t="str">
        <f t="shared" si="23"/>
        <v>Hyderabad</v>
      </c>
      <c r="E712" t="s">
        <v>26</v>
      </c>
      <c r="F712">
        <v>0.84</v>
      </c>
    </row>
    <row r="713" spans="1:6">
      <c r="A713" s="1">
        <v>44805</v>
      </c>
      <c r="B713" s="1" t="str">
        <f t="shared" si="22"/>
        <v>After 5G</v>
      </c>
      <c r="C713">
        <v>411001</v>
      </c>
      <c r="D713" t="str">
        <f t="shared" si="23"/>
        <v>Pune</v>
      </c>
      <c r="E713" t="s">
        <v>26</v>
      </c>
      <c r="F713">
        <v>1.27</v>
      </c>
    </row>
    <row r="714" spans="1:6">
      <c r="A714" s="1">
        <v>44805</v>
      </c>
      <c r="B714" s="1" t="str">
        <f t="shared" si="22"/>
        <v>After 5G</v>
      </c>
      <c r="C714">
        <v>380001</v>
      </c>
      <c r="D714" t="str">
        <f t="shared" si="23"/>
        <v>Ahmedabad</v>
      </c>
      <c r="E714" t="s">
        <v>26</v>
      </c>
      <c r="F714">
        <v>0.78</v>
      </c>
    </row>
    <row r="715" spans="1:6">
      <c r="A715" s="1">
        <v>44805</v>
      </c>
      <c r="B715" s="1" t="str">
        <f t="shared" si="22"/>
        <v>After 5G</v>
      </c>
      <c r="C715">
        <v>302001</v>
      </c>
      <c r="D715" t="str">
        <f t="shared" si="23"/>
        <v>Jaipur</v>
      </c>
      <c r="E715" t="s">
        <v>26</v>
      </c>
      <c r="F715">
        <v>0.45</v>
      </c>
    </row>
    <row r="716" spans="1:6">
      <c r="A716" s="1">
        <v>44805</v>
      </c>
      <c r="B716" s="1" t="str">
        <f t="shared" si="22"/>
        <v>After 5G</v>
      </c>
      <c r="C716">
        <v>226001</v>
      </c>
      <c r="D716" t="str">
        <f t="shared" si="23"/>
        <v>Lucknow</v>
      </c>
      <c r="E716" t="s">
        <v>26</v>
      </c>
      <c r="F716">
        <v>0.51</v>
      </c>
    </row>
    <row r="717" spans="1:6">
      <c r="A717" s="1">
        <v>44805</v>
      </c>
      <c r="B717" s="1" t="str">
        <f t="shared" si="22"/>
        <v>After 5G</v>
      </c>
      <c r="C717">
        <v>800008</v>
      </c>
      <c r="D717" t="str">
        <f t="shared" si="23"/>
        <v>Patna</v>
      </c>
      <c r="E717" t="s">
        <v>26</v>
      </c>
      <c r="F717">
        <v>0.39</v>
      </c>
    </row>
    <row r="718" spans="1:6">
      <c r="A718" s="1">
        <v>44805</v>
      </c>
      <c r="B718" s="1" t="str">
        <f t="shared" si="22"/>
        <v>After 5G</v>
      </c>
      <c r="C718">
        <v>641001</v>
      </c>
      <c r="D718" t="str">
        <f t="shared" si="23"/>
        <v>Coimbatore</v>
      </c>
      <c r="E718" t="s">
        <v>26</v>
      </c>
      <c r="F718">
        <v>0.32</v>
      </c>
    </row>
    <row r="719" spans="1:6">
      <c r="A719" s="1">
        <v>44805</v>
      </c>
      <c r="B719" s="1" t="str">
        <f t="shared" si="22"/>
        <v>After 5G</v>
      </c>
      <c r="C719">
        <v>160017</v>
      </c>
      <c r="D719" t="str">
        <f t="shared" si="23"/>
        <v>Chandigarh</v>
      </c>
      <c r="E719" t="s">
        <v>26</v>
      </c>
      <c r="F719">
        <v>0.35</v>
      </c>
    </row>
    <row r="720" spans="1:6">
      <c r="A720" s="1">
        <v>44805</v>
      </c>
      <c r="B720" s="1" t="str">
        <f t="shared" si="22"/>
        <v>After 5G</v>
      </c>
      <c r="C720">
        <v>122001</v>
      </c>
      <c r="D720" t="str">
        <f t="shared" si="23"/>
        <v>Gurgaon</v>
      </c>
      <c r="E720" t="s">
        <v>26</v>
      </c>
      <c r="F720">
        <v>0.21</v>
      </c>
    </row>
    <row r="721" spans="1:6">
      <c r="A721" s="1">
        <v>44805</v>
      </c>
      <c r="B721" s="1" t="str">
        <f t="shared" si="22"/>
        <v>After 5G</v>
      </c>
      <c r="C721">
        <v>492001</v>
      </c>
      <c r="D721" t="str">
        <f t="shared" si="23"/>
        <v>Raipur</v>
      </c>
      <c r="E721" t="s">
        <v>26</v>
      </c>
      <c r="F721">
        <v>0.14000000000000001</v>
      </c>
    </row>
    <row r="722" spans="1:6">
      <c r="A722" s="1">
        <v>44562</v>
      </c>
      <c r="B722" s="1" t="str">
        <f t="shared" si="22"/>
        <v>Before 5G</v>
      </c>
      <c r="C722">
        <v>400001</v>
      </c>
      <c r="D722" t="str">
        <f t="shared" si="23"/>
        <v>Mumbai</v>
      </c>
      <c r="E722" t="s">
        <v>28</v>
      </c>
      <c r="F722">
        <v>1.74</v>
      </c>
    </row>
    <row r="723" spans="1:6">
      <c r="A723" s="1">
        <v>44562</v>
      </c>
      <c r="B723" s="1" t="str">
        <f t="shared" si="22"/>
        <v>Before 5G</v>
      </c>
      <c r="C723">
        <v>110001</v>
      </c>
      <c r="D723" t="str">
        <f t="shared" si="23"/>
        <v>Delhi</v>
      </c>
      <c r="E723" t="s">
        <v>28</v>
      </c>
      <c r="F723">
        <v>1.86</v>
      </c>
    </row>
    <row r="724" spans="1:6">
      <c r="A724" s="1">
        <v>44562</v>
      </c>
      <c r="B724" s="1" t="str">
        <f t="shared" si="22"/>
        <v>Before 5G</v>
      </c>
      <c r="C724">
        <v>700001</v>
      </c>
      <c r="D724" t="str">
        <f t="shared" si="23"/>
        <v>Kolkata</v>
      </c>
      <c r="E724" t="s">
        <v>28</v>
      </c>
      <c r="F724">
        <v>1.25</v>
      </c>
    </row>
    <row r="725" spans="1:6">
      <c r="A725" s="1">
        <v>44562</v>
      </c>
      <c r="B725" s="1" t="str">
        <f t="shared" si="22"/>
        <v>Before 5G</v>
      </c>
      <c r="C725">
        <v>560001</v>
      </c>
      <c r="D725" t="str">
        <f t="shared" si="23"/>
        <v>Bangalore</v>
      </c>
      <c r="E725" t="s">
        <v>28</v>
      </c>
      <c r="F725">
        <v>1.5</v>
      </c>
    </row>
    <row r="726" spans="1:6">
      <c r="A726" s="1">
        <v>44562</v>
      </c>
      <c r="B726" s="1" t="str">
        <f t="shared" si="22"/>
        <v>Before 5G</v>
      </c>
      <c r="C726">
        <v>600001</v>
      </c>
      <c r="D726" t="str">
        <f t="shared" si="23"/>
        <v>Chennai</v>
      </c>
      <c r="E726" t="s">
        <v>28</v>
      </c>
      <c r="F726">
        <v>0.97</v>
      </c>
    </row>
    <row r="727" spans="1:6">
      <c r="A727" s="1">
        <v>44562</v>
      </c>
      <c r="B727" s="1" t="str">
        <f t="shared" si="22"/>
        <v>Before 5G</v>
      </c>
      <c r="C727">
        <v>500001</v>
      </c>
      <c r="D727" t="str">
        <f t="shared" si="23"/>
        <v>Hyderabad</v>
      </c>
      <c r="E727" t="s">
        <v>28</v>
      </c>
      <c r="F727">
        <v>0.92</v>
      </c>
    </row>
    <row r="728" spans="1:6">
      <c r="A728" s="1">
        <v>44562</v>
      </c>
      <c r="B728" s="1" t="str">
        <f t="shared" si="22"/>
        <v>Before 5G</v>
      </c>
      <c r="C728">
        <v>411001</v>
      </c>
      <c r="D728" t="str">
        <f t="shared" si="23"/>
        <v>Pune</v>
      </c>
      <c r="E728" t="s">
        <v>28</v>
      </c>
      <c r="F728">
        <v>0.81</v>
      </c>
    </row>
    <row r="729" spans="1:6">
      <c r="A729" s="1">
        <v>44562</v>
      </c>
      <c r="B729" s="1" t="str">
        <f t="shared" si="22"/>
        <v>Before 5G</v>
      </c>
      <c r="C729">
        <v>380001</v>
      </c>
      <c r="D729" t="str">
        <f t="shared" si="23"/>
        <v>Ahmedabad</v>
      </c>
      <c r="E729" t="s">
        <v>28</v>
      </c>
      <c r="F729">
        <v>0.69</v>
      </c>
    </row>
    <row r="730" spans="1:6">
      <c r="A730" s="1">
        <v>44562</v>
      </c>
      <c r="B730" s="1" t="str">
        <f t="shared" si="22"/>
        <v>Before 5G</v>
      </c>
      <c r="C730">
        <v>302001</v>
      </c>
      <c r="D730" t="str">
        <f t="shared" si="23"/>
        <v>Jaipur</v>
      </c>
      <c r="E730" t="s">
        <v>28</v>
      </c>
      <c r="F730">
        <v>0.68</v>
      </c>
    </row>
    <row r="731" spans="1:6">
      <c r="A731" s="1">
        <v>44562</v>
      </c>
      <c r="B731" s="1" t="str">
        <f t="shared" si="22"/>
        <v>Before 5G</v>
      </c>
      <c r="C731">
        <v>226001</v>
      </c>
      <c r="D731" t="str">
        <f t="shared" si="23"/>
        <v>Lucknow</v>
      </c>
      <c r="E731" t="s">
        <v>28</v>
      </c>
      <c r="F731">
        <v>0.51</v>
      </c>
    </row>
    <row r="732" spans="1:6">
      <c r="A732" s="1">
        <v>44562</v>
      </c>
      <c r="B732" s="1" t="str">
        <f t="shared" si="22"/>
        <v>Before 5G</v>
      </c>
      <c r="C732">
        <v>800008</v>
      </c>
      <c r="D732" t="str">
        <f t="shared" si="23"/>
        <v>Patna</v>
      </c>
      <c r="E732" t="s">
        <v>28</v>
      </c>
      <c r="F732">
        <v>0.48</v>
      </c>
    </row>
    <row r="733" spans="1:6">
      <c r="A733" s="1">
        <v>44562</v>
      </c>
      <c r="B733" s="1" t="str">
        <f t="shared" si="22"/>
        <v>Before 5G</v>
      </c>
      <c r="C733">
        <v>641001</v>
      </c>
      <c r="D733" t="str">
        <f t="shared" si="23"/>
        <v>Coimbatore</v>
      </c>
      <c r="E733" t="s">
        <v>28</v>
      </c>
      <c r="F733">
        <v>0.28000000000000003</v>
      </c>
    </row>
    <row r="734" spans="1:6">
      <c r="A734" s="1">
        <v>44562</v>
      </c>
      <c r="B734" s="1" t="str">
        <f t="shared" si="22"/>
        <v>Before 5G</v>
      </c>
      <c r="C734">
        <v>160017</v>
      </c>
      <c r="D734" t="str">
        <f t="shared" si="23"/>
        <v>Chandigarh</v>
      </c>
      <c r="E734" t="s">
        <v>28</v>
      </c>
      <c r="F734">
        <v>0.24</v>
      </c>
    </row>
    <row r="735" spans="1:6">
      <c r="A735" s="1">
        <v>44562</v>
      </c>
      <c r="B735" s="1" t="str">
        <f t="shared" si="22"/>
        <v>Before 5G</v>
      </c>
      <c r="C735">
        <v>122001</v>
      </c>
      <c r="D735" t="str">
        <f t="shared" si="23"/>
        <v>Gurgaon</v>
      </c>
      <c r="E735" t="s">
        <v>28</v>
      </c>
      <c r="F735">
        <v>0.19</v>
      </c>
    </row>
    <row r="736" spans="1:6">
      <c r="A736" s="1">
        <v>44562</v>
      </c>
      <c r="B736" s="1" t="str">
        <f t="shared" si="22"/>
        <v>Before 5G</v>
      </c>
      <c r="C736">
        <v>492001</v>
      </c>
      <c r="D736" t="str">
        <f t="shared" si="23"/>
        <v>Raipur</v>
      </c>
      <c r="E736" t="s">
        <v>28</v>
      </c>
      <c r="F736">
        <v>0.13</v>
      </c>
    </row>
    <row r="737" spans="1:6">
      <c r="A737" s="1">
        <v>44593</v>
      </c>
      <c r="B737" s="1" t="str">
        <f t="shared" si="22"/>
        <v>Before 5G</v>
      </c>
      <c r="C737">
        <v>400001</v>
      </c>
      <c r="D737" t="str">
        <f t="shared" si="23"/>
        <v>Mumbai</v>
      </c>
      <c r="E737" t="s">
        <v>28</v>
      </c>
      <c r="F737">
        <v>1.81</v>
      </c>
    </row>
    <row r="738" spans="1:6">
      <c r="A738" s="1">
        <v>44593</v>
      </c>
      <c r="B738" s="1" t="str">
        <f t="shared" si="22"/>
        <v>Before 5G</v>
      </c>
      <c r="C738">
        <v>110001</v>
      </c>
      <c r="D738" t="str">
        <f t="shared" si="23"/>
        <v>Delhi</v>
      </c>
      <c r="E738" t="s">
        <v>28</v>
      </c>
      <c r="F738">
        <v>2.14</v>
      </c>
    </row>
    <row r="739" spans="1:6">
      <c r="A739" s="1">
        <v>44593</v>
      </c>
      <c r="B739" s="1" t="str">
        <f t="shared" si="22"/>
        <v>Before 5G</v>
      </c>
      <c r="C739">
        <v>700001</v>
      </c>
      <c r="D739" t="str">
        <f t="shared" si="23"/>
        <v>Kolkata</v>
      </c>
      <c r="E739" t="s">
        <v>28</v>
      </c>
      <c r="F739">
        <v>1.68</v>
      </c>
    </row>
    <row r="740" spans="1:6">
      <c r="A740" s="1">
        <v>44593</v>
      </c>
      <c r="B740" s="1" t="str">
        <f t="shared" si="22"/>
        <v>Before 5G</v>
      </c>
      <c r="C740">
        <v>560001</v>
      </c>
      <c r="D740" t="str">
        <f t="shared" si="23"/>
        <v>Bangalore</v>
      </c>
      <c r="E740" t="s">
        <v>28</v>
      </c>
      <c r="F740">
        <v>1.94</v>
      </c>
    </row>
    <row r="741" spans="1:6">
      <c r="A741" s="1">
        <v>44593</v>
      </c>
      <c r="B741" s="1" t="str">
        <f t="shared" si="22"/>
        <v>Before 5G</v>
      </c>
      <c r="C741">
        <v>600001</v>
      </c>
      <c r="D741" t="str">
        <f t="shared" si="23"/>
        <v>Chennai</v>
      </c>
      <c r="E741" t="s">
        <v>28</v>
      </c>
      <c r="F741">
        <v>2.34</v>
      </c>
    </row>
    <row r="742" spans="1:6">
      <c r="A742" s="1">
        <v>44593</v>
      </c>
      <c r="B742" s="1" t="str">
        <f t="shared" si="22"/>
        <v>Before 5G</v>
      </c>
      <c r="C742">
        <v>500001</v>
      </c>
      <c r="D742" t="str">
        <f t="shared" si="23"/>
        <v>Hyderabad</v>
      </c>
      <c r="E742" t="s">
        <v>28</v>
      </c>
      <c r="F742">
        <v>1.1599999999999999</v>
      </c>
    </row>
    <row r="743" spans="1:6">
      <c r="A743" s="1">
        <v>44593</v>
      </c>
      <c r="B743" s="1" t="str">
        <f t="shared" si="22"/>
        <v>Before 5G</v>
      </c>
      <c r="C743">
        <v>411001</v>
      </c>
      <c r="D743" t="str">
        <f t="shared" si="23"/>
        <v>Pune</v>
      </c>
      <c r="E743" t="s">
        <v>28</v>
      </c>
      <c r="F743">
        <v>0.89</v>
      </c>
    </row>
    <row r="744" spans="1:6">
      <c r="A744" s="1">
        <v>44593</v>
      </c>
      <c r="B744" s="1" t="str">
        <f t="shared" si="22"/>
        <v>Before 5G</v>
      </c>
      <c r="C744">
        <v>380001</v>
      </c>
      <c r="D744" t="str">
        <f t="shared" si="23"/>
        <v>Ahmedabad</v>
      </c>
      <c r="E744" t="s">
        <v>28</v>
      </c>
      <c r="F744">
        <v>0.66</v>
      </c>
    </row>
    <row r="745" spans="1:6">
      <c r="A745" s="1">
        <v>44593</v>
      </c>
      <c r="B745" s="1" t="str">
        <f t="shared" si="22"/>
        <v>Before 5G</v>
      </c>
      <c r="C745">
        <v>302001</v>
      </c>
      <c r="D745" t="str">
        <f t="shared" si="23"/>
        <v>Jaipur</v>
      </c>
      <c r="E745" t="s">
        <v>28</v>
      </c>
      <c r="F745">
        <v>0.52</v>
      </c>
    </row>
    <row r="746" spans="1:6">
      <c r="A746" s="1">
        <v>44593</v>
      </c>
      <c r="B746" s="1" t="str">
        <f t="shared" si="22"/>
        <v>Before 5G</v>
      </c>
      <c r="C746">
        <v>226001</v>
      </c>
      <c r="D746" t="str">
        <f t="shared" si="23"/>
        <v>Lucknow</v>
      </c>
      <c r="E746" t="s">
        <v>28</v>
      </c>
      <c r="F746">
        <v>1.1200000000000001</v>
      </c>
    </row>
    <row r="747" spans="1:6">
      <c r="A747" s="1">
        <v>44593</v>
      </c>
      <c r="B747" s="1" t="str">
        <f t="shared" si="22"/>
        <v>Before 5G</v>
      </c>
      <c r="C747">
        <v>800008</v>
      </c>
      <c r="D747" t="str">
        <f t="shared" si="23"/>
        <v>Patna</v>
      </c>
      <c r="E747" t="s">
        <v>28</v>
      </c>
      <c r="F747">
        <v>0.46</v>
      </c>
    </row>
    <row r="748" spans="1:6">
      <c r="A748" s="1">
        <v>44593</v>
      </c>
      <c r="B748" s="1" t="str">
        <f t="shared" si="22"/>
        <v>Before 5G</v>
      </c>
      <c r="C748">
        <v>641001</v>
      </c>
      <c r="D748" t="str">
        <f t="shared" si="23"/>
        <v>Coimbatore</v>
      </c>
      <c r="E748" t="s">
        <v>28</v>
      </c>
      <c r="F748">
        <v>0.41</v>
      </c>
    </row>
    <row r="749" spans="1:6">
      <c r="A749" s="1">
        <v>44593</v>
      </c>
      <c r="B749" s="1" t="str">
        <f t="shared" si="22"/>
        <v>Before 5G</v>
      </c>
      <c r="C749">
        <v>160017</v>
      </c>
      <c r="D749" t="str">
        <f t="shared" si="23"/>
        <v>Chandigarh</v>
      </c>
      <c r="E749" t="s">
        <v>28</v>
      </c>
      <c r="F749">
        <v>0.2</v>
      </c>
    </row>
    <row r="750" spans="1:6">
      <c r="A750" s="1">
        <v>44593</v>
      </c>
      <c r="B750" s="1" t="str">
        <f t="shared" si="22"/>
        <v>Before 5G</v>
      </c>
      <c r="C750">
        <v>122001</v>
      </c>
      <c r="D750" t="str">
        <f t="shared" si="23"/>
        <v>Gurgaon</v>
      </c>
      <c r="E750" t="s">
        <v>28</v>
      </c>
      <c r="F750">
        <v>0.32</v>
      </c>
    </row>
    <row r="751" spans="1:6">
      <c r="A751" s="1">
        <v>44593</v>
      </c>
      <c r="B751" s="1" t="str">
        <f t="shared" si="22"/>
        <v>Before 5G</v>
      </c>
      <c r="C751">
        <v>492001</v>
      </c>
      <c r="D751" t="str">
        <f t="shared" si="23"/>
        <v>Raipur</v>
      </c>
      <c r="E751" t="s">
        <v>28</v>
      </c>
      <c r="F751">
        <v>0.17</v>
      </c>
    </row>
    <row r="752" spans="1:6">
      <c r="A752" s="1">
        <v>44621</v>
      </c>
      <c r="B752" s="1" t="str">
        <f t="shared" si="22"/>
        <v>Before 5G</v>
      </c>
      <c r="C752">
        <v>400001</v>
      </c>
      <c r="D752" t="str">
        <f t="shared" si="23"/>
        <v>Mumbai</v>
      </c>
      <c r="E752" t="s">
        <v>28</v>
      </c>
      <c r="F752">
        <v>2.37</v>
      </c>
    </row>
    <row r="753" spans="1:6">
      <c r="A753" s="1">
        <v>44621</v>
      </c>
      <c r="B753" s="1" t="str">
        <f t="shared" si="22"/>
        <v>Before 5G</v>
      </c>
      <c r="C753">
        <v>110001</v>
      </c>
      <c r="D753" t="str">
        <f t="shared" si="23"/>
        <v>Delhi</v>
      </c>
      <c r="E753" t="s">
        <v>28</v>
      </c>
      <c r="F753">
        <v>2.11</v>
      </c>
    </row>
    <row r="754" spans="1:6">
      <c r="A754" s="1">
        <v>44621</v>
      </c>
      <c r="B754" s="1" t="str">
        <f t="shared" si="22"/>
        <v>Before 5G</v>
      </c>
      <c r="C754">
        <v>700001</v>
      </c>
      <c r="D754" t="str">
        <f t="shared" si="23"/>
        <v>Kolkata</v>
      </c>
      <c r="E754" t="s">
        <v>28</v>
      </c>
      <c r="F754">
        <v>2.66</v>
      </c>
    </row>
    <row r="755" spans="1:6">
      <c r="A755" s="1">
        <v>44621</v>
      </c>
      <c r="B755" s="1" t="str">
        <f t="shared" si="22"/>
        <v>Before 5G</v>
      </c>
      <c r="C755">
        <v>560001</v>
      </c>
      <c r="D755" t="str">
        <f t="shared" si="23"/>
        <v>Bangalore</v>
      </c>
      <c r="E755" t="s">
        <v>28</v>
      </c>
      <c r="F755">
        <v>1.4</v>
      </c>
    </row>
    <row r="756" spans="1:6">
      <c r="A756" s="1">
        <v>44621</v>
      </c>
      <c r="B756" s="1" t="str">
        <f t="shared" si="22"/>
        <v>Before 5G</v>
      </c>
      <c r="C756">
        <v>600001</v>
      </c>
      <c r="D756" t="str">
        <f t="shared" si="23"/>
        <v>Chennai</v>
      </c>
      <c r="E756" t="s">
        <v>28</v>
      </c>
      <c r="F756">
        <v>0.83</v>
      </c>
    </row>
    <row r="757" spans="1:6">
      <c r="A757" s="1">
        <v>44621</v>
      </c>
      <c r="B757" s="1" t="str">
        <f t="shared" si="22"/>
        <v>Before 5G</v>
      </c>
      <c r="C757">
        <v>500001</v>
      </c>
      <c r="D757" t="str">
        <f t="shared" si="23"/>
        <v>Hyderabad</v>
      </c>
      <c r="E757" t="s">
        <v>28</v>
      </c>
      <c r="F757">
        <v>1.1599999999999999</v>
      </c>
    </row>
    <row r="758" spans="1:6">
      <c r="A758" s="1">
        <v>44621</v>
      </c>
      <c r="B758" s="1" t="str">
        <f t="shared" si="22"/>
        <v>Before 5G</v>
      </c>
      <c r="C758">
        <v>411001</v>
      </c>
      <c r="D758" t="str">
        <f t="shared" si="23"/>
        <v>Pune</v>
      </c>
      <c r="E758" t="s">
        <v>28</v>
      </c>
      <c r="F758">
        <v>1.32</v>
      </c>
    </row>
    <row r="759" spans="1:6">
      <c r="A759" s="1">
        <v>44621</v>
      </c>
      <c r="B759" s="1" t="str">
        <f t="shared" si="22"/>
        <v>Before 5G</v>
      </c>
      <c r="C759">
        <v>380001</v>
      </c>
      <c r="D759" t="str">
        <f t="shared" si="23"/>
        <v>Ahmedabad</v>
      </c>
      <c r="E759" t="s">
        <v>28</v>
      </c>
      <c r="F759">
        <v>0.87</v>
      </c>
    </row>
    <row r="760" spans="1:6">
      <c r="A760" s="1">
        <v>44621</v>
      </c>
      <c r="B760" s="1" t="str">
        <f t="shared" si="22"/>
        <v>Before 5G</v>
      </c>
      <c r="C760">
        <v>302001</v>
      </c>
      <c r="D760" t="str">
        <f t="shared" si="23"/>
        <v>Jaipur</v>
      </c>
      <c r="E760" t="s">
        <v>28</v>
      </c>
      <c r="F760">
        <v>0.68</v>
      </c>
    </row>
    <row r="761" spans="1:6">
      <c r="A761" s="1">
        <v>44621</v>
      </c>
      <c r="B761" s="1" t="str">
        <f t="shared" si="22"/>
        <v>Before 5G</v>
      </c>
      <c r="C761">
        <v>226001</v>
      </c>
      <c r="D761" t="str">
        <f t="shared" si="23"/>
        <v>Lucknow</v>
      </c>
      <c r="E761" t="s">
        <v>28</v>
      </c>
      <c r="F761">
        <v>0.52</v>
      </c>
    </row>
    <row r="762" spans="1:6">
      <c r="A762" s="1">
        <v>44621</v>
      </c>
      <c r="B762" s="1" t="str">
        <f t="shared" si="22"/>
        <v>Before 5G</v>
      </c>
      <c r="C762">
        <v>800008</v>
      </c>
      <c r="D762" t="str">
        <f t="shared" si="23"/>
        <v>Patna</v>
      </c>
      <c r="E762" t="s">
        <v>28</v>
      </c>
      <c r="F762">
        <v>0.34</v>
      </c>
    </row>
    <row r="763" spans="1:6">
      <c r="A763" s="1">
        <v>44621</v>
      </c>
      <c r="B763" s="1" t="str">
        <f t="shared" si="22"/>
        <v>Before 5G</v>
      </c>
      <c r="C763">
        <v>641001</v>
      </c>
      <c r="D763" t="str">
        <f t="shared" si="23"/>
        <v>Coimbatore</v>
      </c>
      <c r="E763" t="s">
        <v>28</v>
      </c>
      <c r="F763">
        <v>0.65</v>
      </c>
    </row>
    <row r="764" spans="1:6">
      <c r="A764" s="1">
        <v>44621</v>
      </c>
      <c r="B764" s="1" t="str">
        <f t="shared" si="22"/>
        <v>Before 5G</v>
      </c>
      <c r="C764">
        <v>160017</v>
      </c>
      <c r="D764" t="str">
        <f t="shared" si="23"/>
        <v>Chandigarh</v>
      </c>
      <c r="E764" t="s">
        <v>28</v>
      </c>
      <c r="F764">
        <v>0.34</v>
      </c>
    </row>
    <row r="765" spans="1:6">
      <c r="A765" s="1">
        <v>44621</v>
      </c>
      <c r="B765" s="1" t="str">
        <f t="shared" si="22"/>
        <v>Before 5G</v>
      </c>
      <c r="C765">
        <v>122001</v>
      </c>
      <c r="D765" t="str">
        <f t="shared" si="23"/>
        <v>Gurgaon</v>
      </c>
      <c r="E765" t="s">
        <v>28</v>
      </c>
      <c r="F765">
        <v>0.21</v>
      </c>
    </row>
    <row r="766" spans="1:6">
      <c r="A766" s="1">
        <v>44621</v>
      </c>
      <c r="B766" s="1" t="str">
        <f t="shared" si="22"/>
        <v>Before 5G</v>
      </c>
      <c r="C766">
        <v>492001</v>
      </c>
      <c r="D766" t="str">
        <f t="shared" si="23"/>
        <v>Raipur</v>
      </c>
      <c r="E766" t="s">
        <v>28</v>
      </c>
      <c r="F766">
        <v>0.13</v>
      </c>
    </row>
    <row r="767" spans="1:6">
      <c r="A767" s="1">
        <v>44652</v>
      </c>
      <c r="B767" s="1" t="str">
        <f t="shared" si="22"/>
        <v>Before 5G</v>
      </c>
      <c r="C767">
        <v>400001</v>
      </c>
      <c r="D767" t="str">
        <f t="shared" si="23"/>
        <v>Mumbai</v>
      </c>
      <c r="E767" t="s">
        <v>28</v>
      </c>
      <c r="F767">
        <v>2.21</v>
      </c>
    </row>
    <row r="768" spans="1:6">
      <c r="A768" s="1">
        <v>44652</v>
      </c>
      <c r="B768" s="1" t="str">
        <f t="shared" si="22"/>
        <v>Before 5G</v>
      </c>
      <c r="C768">
        <v>110001</v>
      </c>
      <c r="D768" t="str">
        <f t="shared" si="23"/>
        <v>Delhi</v>
      </c>
      <c r="E768" t="s">
        <v>28</v>
      </c>
      <c r="F768">
        <v>1.51</v>
      </c>
    </row>
    <row r="769" spans="1:6">
      <c r="A769" s="1">
        <v>44652</v>
      </c>
      <c r="B769" s="1" t="str">
        <f t="shared" si="22"/>
        <v>Before 5G</v>
      </c>
      <c r="C769">
        <v>700001</v>
      </c>
      <c r="D769" t="str">
        <f t="shared" si="23"/>
        <v>Kolkata</v>
      </c>
      <c r="E769" t="s">
        <v>28</v>
      </c>
      <c r="F769">
        <v>1.6</v>
      </c>
    </row>
    <row r="770" spans="1:6">
      <c r="A770" s="1">
        <v>44652</v>
      </c>
      <c r="B770" s="1" t="str">
        <f t="shared" si="22"/>
        <v>Before 5G</v>
      </c>
      <c r="C770">
        <v>560001</v>
      </c>
      <c r="D770" t="str">
        <f t="shared" si="23"/>
        <v>Bangalore</v>
      </c>
      <c r="E770" t="s">
        <v>28</v>
      </c>
      <c r="F770">
        <v>1.51</v>
      </c>
    </row>
    <row r="771" spans="1:6">
      <c r="A771" s="1">
        <v>44652</v>
      </c>
      <c r="B771" s="1" t="str">
        <f t="shared" ref="B771:B834" si="24">VLOOKUP(A771,$H$2:$K$9,3,FALSE)</f>
        <v>Before 5G</v>
      </c>
      <c r="C771">
        <v>600001</v>
      </c>
      <c r="D771" t="str">
        <f t="shared" ref="D771:D834" si="25">VLOOKUP(C771,$M$2:$N$16,2,FALSE)</f>
        <v>Chennai</v>
      </c>
      <c r="E771" t="s">
        <v>28</v>
      </c>
      <c r="F771">
        <v>1.47</v>
      </c>
    </row>
    <row r="772" spans="1:6">
      <c r="A772" s="1">
        <v>44652</v>
      </c>
      <c r="B772" s="1" t="str">
        <f t="shared" si="24"/>
        <v>Before 5G</v>
      </c>
      <c r="C772">
        <v>500001</v>
      </c>
      <c r="D772" t="str">
        <f t="shared" si="25"/>
        <v>Hyderabad</v>
      </c>
      <c r="E772" t="s">
        <v>28</v>
      </c>
      <c r="F772">
        <v>0.95</v>
      </c>
    </row>
    <row r="773" spans="1:6">
      <c r="A773" s="1">
        <v>44652</v>
      </c>
      <c r="B773" s="1" t="str">
        <f t="shared" si="24"/>
        <v>Before 5G</v>
      </c>
      <c r="C773">
        <v>411001</v>
      </c>
      <c r="D773" t="str">
        <f t="shared" si="25"/>
        <v>Pune</v>
      </c>
      <c r="E773" t="s">
        <v>28</v>
      </c>
      <c r="F773">
        <v>1.79</v>
      </c>
    </row>
    <row r="774" spans="1:6">
      <c r="A774" s="1">
        <v>44652</v>
      </c>
      <c r="B774" s="1" t="str">
        <f t="shared" si="24"/>
        <v>Before 5G</v>
      </c>
      <c r="C774">
        <v>380001</v>
      </c>
      <c r="D774" t="str">
        <f t="shared" si="25"/>
        <v>Ahmedabad</v>
      </c>
      <c r="E774" t="s">
        <v>28</v>
      </c>
      <c r="F774">
        <v>0.97</v>
      </c>
    </row>
    <row r="775" spans="1:6">
      <c r="A775" s="1">
        <v>44652</v>
      </c>
      <c r="B775" s="1" t="str">
        <f t="shared" si="24"/>
        <v>Before 5G</v>
      </c>
      <c r="C775">
        <v>302001</v>
      </c>
      <c r="D775" t="str">
        <f t="shared" si="25"/>
        <v>Jaipur</v>
      </c>
      <c r="E775" t="s">
        <v>28</v>
      </c>
      <c r="F775">
        <v>0.56000000000000005</v>
      </c>
    </row>
    <row r="776" spans="1:6">
      <c r="A776" s="1">
        <v>44652</v>
      </c>
      <c r="B776" s="1" t="str">
        <f t="shared" si="24"/>
        <v>Before 5G</v>
      </c>
      <c r="C776">
        <v>226001</v>
      </c>
      <c r="D776" t="str">
        <f t="shared" si="25"/>
        <v>Lucknow</v>
      </c>
      <c r="E776" t="s">
        <v>28</v>
      </c>
      <c r="F776">
        <v>0.54</v>
      </c>
    </row>
    <row r="777" spans="1:6">
      <c r="A777" s="1">
        <v>44652</v>
      </c>
      <c r="B777" s="1" t="str">
        <f t="shared" si="24"/>
        <v>Before 5G</v>
      </c>
      <c r="C777">
        <v>800008</v>
      </c>
      <c r="D777" t="str">
        <f t="shared" si="25"/>
        <v>Patna</v>
      </c>
      <c r="E777" t="s">
        <v>28</v>
      </c>
      <c r="F777">
        <v>0.35</v>
      </c>
    </row>
    <row r="778" spans="1:6">
      <c r="A778" s="1">
        <v>44652</v>
      </c>
      <c r="B778" s="1" t="str">
        <f t="shared" si="24"/>
        <v>Before 5G</v>
      </c>
      <c r="C778">
        <v>641001</v>
      </c>
      <c r="D778" t="str">
        <f t="shared" si="25"/>
        <v>Coimbatore</v>
      </c>
      <c r="E778" t="s">
        <v>28</v>
      </c>
      <c r="F778">
        <v>0.35</v>
      </c>
    </row>
    <row r="779" spans="1:6">
      <c r="A779" s="1">
        <v>44652</v>
      </c>
      <c r="B779" s="1" t="str">
        <f t="shared" si="24"/>
        <v>Before 5G</v>
      </c>
      <c r="C779">
        <v>160017</v>
      </c>
      <c r="D779" t="str">
        <f t="shared" si="25"/>
        <v>Chandigarh</v>
      </c>
      <c r="E779" t="s">
        <v>28</v>
      </c>
      <c r="F779">
        <v>0.47</v>
      </c>
    </row>
    <row r="780" spans="1:6">
      <c r="A780" s="1">
        <v>44652</v>
      </c>
      <c r="B780" s="1" t="str">
        <f t="shared" si="24"/>
        <v>Before 5G</v>
      </c>
      <c r="C780">
        <v>122001</v>
      </c>
      <c r="D780" t="str">
        <f t="shared" si="25"/>
        <v>Gurgaon</v>
      </c>
      <c r="E780" t="s">
        <v>28</v>
      </c>
      <c r="F780">
        <v>0.17</v>
      </c>
    </row>
    <row r="781" spans="1:6">
      <c r="A781" s="1">
        <v>44652</v>
      </c>
      <c r="B781" s="1" t="str">
        <f t="shared" si="24"/>
        <v>Before 5G</v>
      </c>
      <c r="C781">
        <v>492001</v>
      </c>
      <c r="D781" t="str">
        <f t="shared" si="25"/>
        <v>Raipur</v>
      </c>
      <c r="E781" t="s">
        <v>28</v>
      </c>
      <c r="F781">
        <v>0.13</v>
      </c>
    </row>
    <row r="782" spans="1:6">
      <c r="A782" s="1">
        <v>44713</v>
      </c>
      <c r="B782" s="1" t="str">
        <f t="shared" si="24"/>
        <v>After 5G</v>
      </c>
      <c r="C782">
        <v>400001</v>
      </c>
      <c r="D782" t="str">
        <f t="shared" si="25"/>
        <v>Mumbai</v>
      </c>
      <c r="E782" t="s">
        <v>28</v>
      </c>
      <c r="F782">
        <v>0.26</v>
      </c>
    </row>
    <row r="783" spans="1:6">
      <c r="A783" s="1">
        <v>44713</v>
      </c>
      <c r="B783" s="1" t="str">
        <f t="shared" si="24"/>
        <v>After 5G</v>
      </c>
      <c r="C783">
        <v>110001</v>
      </c>
      <c r="D783" t="str">
        <f t="shared" si="25"/>
        <v>Delhi</v>
      </c>
      <c r="E783" t="s">
        <v>28</v>
      </c>
      <c r="F783">
        <v>0.44</v>
      </c>
    </row>
    <row r="784" spans="1:6">
      <c r="A784" s="1">
        <v>44713</v>
      </c>
      <c r="B784" s="1" t="str">
        <f t="shared" si="24"/>
        <v>After 5G</v>
      </c>
      <c r="C784">
        <v>700001</v>
      </c>
      <c r="D784" t="str">
        <f t="shared" si="25"/>
        <v>Kolkata</v>
      </c>
      <c r="E784" t="s">
        <v>28</v>
      </c>
      <c r="F784">
        <v>0.4</v>
      </c>
    </row>
    <row r="785" spans="1:6">
      <c r="A785" s="1">
        <v>44713</v>
      </c>
      <c r="B785" s="1" t="str">
        <f t="shared" si="24"/>
        <v>After 5G</v>
      </c>
      <c r="C785">
        <v>560001</v>
      </c>
      <c r="D785" t="str">
        <f t="shared" si="25"/>
        <v>Bangalore</v>
      </c>
      <c r="E785" t="s">
        <v>28</v>
      </c>
      <c r="F785">
        <v>0.64</v>
      </c>
    </row>
    <row r="786" spans="1:6">
      <c r="A786" s="1">
        <v>44713</v>
      </c>
      <c r="B786" s="1" t="str">
        <f t="shared" si="24"/>
        <v>After 5G</v>
      </c>
      <c r="C786">
        <v>600001</v>
      </c>
      <c r="D786" t="str">
        <f t="shared" si="25"/>
        <v>Chennai</v>
      </c>
      <c r="E786" t="s">
        <v>28</v>
      </c>
      <c r="F786">
        <v>0.4</v>
      </c>
    </row>
    <row r="787" spans="1:6">
      <c r="A787" s="1">
        <v>44713</v>
      </c>
      <c r="B787" s="1" t="str">
        <f t="shared" si="24"/>
        <v>After 5G</v>
      </c>
      <c r="C787">
        <v>500001</v>
      </c>
      <c r="D787" t="str">
        <f t="shared" si="25"/>
        <v>Hyderabad</v>
      </c>
      <c r="E787" t="s">
        <v>28</v>
      </c>
      <c r="F787">
        <v>0.22</v>
      </c>
    </row>
    <row r="788" spans="1:6">
      <c r="A788" s="1">
        <v>44713</v>
      </c>
      <c r="B788" s="1" t="str">
        <f t="shared" si="24"/>
        <v>After 5G</v>
      </c>
      <c r="C788">
        <v>411001</v>
      </c>
      <c r="D788" t="str">
        <f t="shared" si="25"/>
        <v>Pune</v>
      </c>
      <c r="E788" t="s">
        <v>28</v>
      </c>
      <c r="F788">
        <v>0.18</v>
      </c>
    </row>
    <row r="789" spans="1:6">
      <c r="A789" s="1">
        <v>44713</v>
      </c>
      <c r="B789" s="1" t="str">
        <f t="shared" si="24"/>
        <v>After 5G</v>
      </c>
      <c r="C789">
        <v>380001</v>
      </c>
      <c r="D789" t="str">
        <f t="shared" si="25"/>
        <v>Ahmedabad</v>
      </c>
      <c r="E789" t="s">
        <v>28</v>
      </c>
      <c r="F789">
        <v>0.16</v>
      </c>
    </row>
    <row r="790" spans="1:6">
      <c r="A790" s="1">
        <v>44713</v>
      </c>
      <c r="B790" s="1" t="str">
        <f t="shared" si="24"/>
        <v>After 5G</v>
      </c>
      <c r="C790">
        <v>302001</v>
      </c>
      <c r="D790" t="str">
        <f t="shared" si="25"/>
        <v>Jaipur</v>
      </c>
      <c r="E790" t="s">
        <v>28</v>
      </c>
      <c r="F790">
        <v>0.24</v>
      </c>
    </row>
    <row r="791" spans="1:6">
      <c r="A791" s="1">
        <v>44713</v>
      </c>
      <c r="B791" s="1" t="str">
        <f t="shared" si="24"/>
        <v>After 5G</v>
      </c>
      <c r="C791">
        <v>226001</v>
      </c>
      <c r="D791" t="str">
        <f t="shared" si="25"/>
        <v>Lucknow</v>
      </c>
      <c r="E791" t="s">
        <v>28</v>
      </c>
      <c r="F791">
        <v>0.12</v>
      </c>
    </row>
    <row r="792" spans="1:6">
      <c r="A792" s="1">
        <v>44713</v>
      </c>
      <c r="B792" s="1" t="str">
        <f t="shared" si="24"/>
        <v>After 5G</v>
      </c>
      <c r="C792">
        <v>800008</v>
      </c>
      <c r="D792" t="str">
        <f t="shared" si="25"/>
        <v>Patna</v>
      </c>
      <c r="E792" t="s">
        <v>28</v>
      </c>
      <c r="F792">
        <v>7.0000000000000007E-2</v>
      </c>
    </row>
    <row r="793" spans="1:6">
      <c r="A793" s="1">
        <v>44713</v>
      </c>
      <c r="B793" s="1" t="str">
        <f t="shared" si="24"/>
        <v>After 5G</v>
      </c>
      <c r="C793">
        <v>641001</v>
      </c>
      <c r="D793" t="str">
        <f t="shared" si="25"/>
        <v>Coimbatore</v>
      </c>
      <c r="E793" t="s">
        <v>28</v>
      </c>
      <c r="F793">
        <v>0.06</v>
      </c>
    </row>
    <row r="794" spans="1:6">
      <c r="A794" s="1">
        <v>44713</v>
      </c>
      <c r="B794" s="1" t="str">
        <f t="shared" si="24"/>
        <v>After 5G</v>
      </c>
      <c r="C794">
        <v>160017</v>
      </c>
      <c r="D794" t="str">
        <f t="shared" si="25"/>
        <v>Chandigarh</v>
      </c>
      <c r="E794" t="s">
        <v>28</v>
      </c>
      <c r="F794">
        <v>7.0000000000000007E-2</v>
      </c>
    </row>
    <row r="795" spans="1:6">
      <c r="A795" s="1">
        <v>44713</v>
      </c>
      <c r="B795" s="1" t="str">
        <f t="shared" si="24"/>
        <v>After 5G</v>
      </c>
      <c r="C795">
        <v>122001</v>
      </c>
      <c r="D795" t="str">
        <f t="shared" si="25"/>
        <v>Gurgaon</v>
      </c>
      <c r="E795" t="s">
        <v>28</v>
      </c>
      <c r="F795">
        <v>0.02</v>
      </c>
    </row>
    <row r="796" spans="1:6">
      <c r="A796" s="1">
        <v>44713</v>
      </c>
      <c r="B796" s="1" t="str">
        <f t="shared" si="24"/>
        <v>After 5G</v>
      </c>
      <c r="C796">
        <v>492001</v>
      </c>
      <c r="D796" t="str">
        <f t="shared" si="25"/>
        <v>Raipur</v>
      </c>
      <c r="E796" t="s">
        <v>28</v>
      </c>
      <c r="F796">
        <v>0.04</v>
      </c>
    </row>
    <row r="797" spans="1:6">
      <c r="A797" s="1">
        <v>44743</v>
      </c>
      <c r="B797" s="1" t="str">
        <f t="shared" si="24"/>
        <v>After 5G</v>
      </c>
      <c r="C797">
        <v>400001</v>
      </c>
      <c r="D797" t="str">
        <f t="shared" si="25"/>
        <v>Mumbai</v>
      </c>
      <c r="E797" t="s">
        <v>28</v>
      </c>
      <c r="F797">
        <v>0.45</v>
      </c>
    </row>
    <row r="798" spans="1:6">
      <c r="A798" s="1">
        <v>44743</v>
      </c>
      <c r="B798" s="1" t="str">
        <f t="shared" si="24"/>
        <v>After 5G</v>
      </c>
      <c r="C798">
        <v>110001</v>
      </c>
      <c r="D798" t="str">
        <f t="shared" si="25"/>
        <v>Delhi</v>
      </c>
      <c r="E798" t="s">
        <v>28</v>
      </c>
      <c r="F798">
        <v>0.42</v>
      </c>
    </row>
    <row r="799" spans="1:6">
      <c r="A799" s="1">
        <v>44743</v>
      </c>
      <c r="B799" s="1" t="str">
        <f t="shared" si="24"/>
        <v>After 5G</v>
      </c>
      <c r="C799">
        <v>700001</v>
      </c>
      <c r="D799" t="str">
        <f t="shared" si="25"/>
        <v>Kolkata</v>
      </c>
      <c r="E799" t="s">
        <v>28</v>
      </c>
      <c r="F799">
        <v>0.27</v>
      </c>
    </row>
    <row r="800" spans="1:6">
      <c r="A800" s="1">
        <v>44743</v>
      </c>
      <c r="B800" s="1" t="str">
        <f t="shared" si="24"/>
        <v>After 5G</v>
      </c>
      <c r="C800">
        <v>560001</v>
      </c>
      <c r="D800" t="str">
        <f t="shared" si="25"/>
        <v>Bangalore</v>
      </c>
      <c r="E800" t="s">
        <v>28</v>
      </c>
      <c r="F800">
        <v>0.49</v>
      </c>
    </row>
    <row r="801" spans="1:6">
      <c r="A801" s="1">
        <v>44743</v>
      </c>
      <c r="B801" s="1" t="str">
        <f t="shared" si="24"/>
        <v>After 5G</v>
      </c>
      <c r="C801">
        <v>600001</v>
      </c>
      <c r="D801" t="str">
        <f t="shared" si="25"/>
        <v>Chennai</v>
      </c>
      <c r="E801" t="s">
        <v>28</v>
      </c>
      <c r="F801">
        <v>0.44</v>
      </c>
    </row>
    <row r="802" spans="1:6">
      <c r="A802" s="1">
        <v>44743</v>
      </c>
      <c r="B802" s="1" t="str">
        <f t="shared" si="24"/>
        <v>After 5G</v>
      </c>
      <c r="C802">
        <v>500001</v>
      </c>
      <c r="D802" t="str">
        <f t="shared" si="25"/>
        <v>Hyderabad</v>
      </c>
      <c r="E802" t="s">
        <v>28</v>
      </c>
      <c r="F802">
        <v>0.27</v>
      </c>
    </row>
    <row r="803" spans="1:6">
      <c r="A803" s="1">
        <v>44743</v>
      </c>
      <c r="B803" s="1" t="str">
        <f t="shared" si="24"/>
        <v>After 5G</v>
      </c>
      <c r="C803">
        <v>411001</v>
      </c>
      <c r="D803" t="str">
        <f t="shared" si="25"/>
        <v>Pune</v>
      </c>
      <c r="E803" t="s">
        <v>28</v>
      </c>
      <c r="F803">
        <v>0.2</v>
      </c>
    </row>
    <row r="804" spans="1:6">
      <c r="A804" s="1">
        <v>44743</v>
      </c>
      <c r="B804" s="1" t="str">
        <f t="shared" si="24"/>
        <v>After 5G</v>
      </c>
      <c r="C804">
        <v>380001</v>
      </c>
      <c r="D804" t="str">
        <f t="shared" si="25"/>
        <v>Ahmedabad</v>
      </c>
      <c r="E804" t="s">
        <v>28</v>
      </c>
      <c r="F804">
        <v>0.32</v>
      </c>
    </row>
    <row r="805" spans="1:6">
      <c r="A805" s="1">
        <v>44743</v>
      </c>
      <c r="B805" s="1" t="str">
        <f t="shared" si="24"/>
        <v>After 5G</v>
      </c>
      <c r="C805">
        <v>302001</v>
      </c>
      <c r="D805" t="str">
        <f t="shared" si="25"/>
        <v>Jaipur</v>
      </c>
      <c r="E805" t="s">
        <v>28</v>
      </c>
      <c r="F805">
        <v>0.11</v>
      </c>
    </row>
    <row r="806" spans="1:6">
      <c r="A806" s="1">
        <v>44743</v>
      </c>
      <c r="B806" s="1" t="str">
        <f t="shared" si="24"/>
        <v>After 5G</v>
      </c>
      <c r="C806">
        <v>226001</v>
      </c>
      <c r="D806" t="str">
        <f t="shared" si="25"/>
        <v>Lucknow</v>
      </c>
      <c r="E806" t="s">
        <v>28</v>
      </c>
      <c r="F806">
        <v>0.09</v>
      </c>
    </row>
    <row r="807" spans="1:6">
      <c r="A807" s="1">
        <v>44743</v>
      </c>
      <c r="B807" s="1" t="str">
        <f t="shared" si="24"/>
        <v>After 5G</v>
      </c>
      <c r="C807">
        <v>800008</v>
      </c>
      <c r="D807" t="str">
        <f t="shared" si="25"/>
        <v>Patna</v>
      </c>
      <c r="E807" t="s">
        <v>28</v>
      </c>
      <c r="F807">
        <v>0.08</v>
      </c>
    </row>
    <row r="808" spans="1:6">
      <c r="A808" s="1">
        <v>44743</v>
      </c>
      <c r="B808" s="1" t="str">
        <f t="shared" si="24"/>
        <v>After 5G</v>
      </c>
      <c r="C808">
        <v>641001</v>
      </c>
      <c r="D808" t="str">
        <f t="shared" si="25"/>
        <v>Coimbatore</v>
      </c>
      <c r="E808" t="s">
        <v>28</v>
      </c>
      <c r="F808">
        <v>0.14000000000000001</v>
      </c>
    </row>
    <row r="809" spans="1:6">
      <c r="A809" s="1">
        <v>44743</v>
      </c>
      <c r="B809" s="1" t="str">
        <f t="shared" si="24"/>
        <v>After 5G</v>
      </c>
      <c r="C809">
        <v>160017</v>
      </c>
      <c r="D809" t="str">
        <f t="shared" si="25"/>
        <v>Chandigarh</v>
      </c>
      <c r="E809" t="s">
        <v>28</v>
      </c>
      <c r="F809">
        <v>0.05</v>
      </c>
    </row>
    <row r="810" spans="1:6">
      <c r="A810" s="1">
        <v>44743</v>
      </c>
      <c r="B810" s="1" t="str">
        <f t="shared" si="24"/>
        <v>After 5G</v>
      </c>
      <c r="C810">
        <v>122001</v>
      </c>
      <c r="D810" t="str">
        <f t="shared" si="25"/>
        <v>Gurgaon</v>
      </c>
      <c r="E810" t="s">
        <v>28</v>
      </c>
      <c r="F810">
        <v>7.0000000000000007E-2</v>
      </c>
    </row>
    <row r="811" spans="1:6">
      <c r="A811" s="1">
        <v>44743</v>
      </c>
      <c r="B811" s="1" t="str">
        <f t="shared" si="24"/>
        <v>After 5G</v>
      </c>
      <c r="C811">
        <v>492001</v>
      </c>
      <c r="D811" t="str">
        <f t="shared" si="25"/>
        <v>Raipur</v>
      </c>
      <c r="E811" t="s">
        <v>28</v>
      </c>
      <c r="F811">
        <v>0.05</v>
      </c>
    </row>
    <row r="812" spans="1:6">
      <c r="A812" s="1">
        <v>44774</v>
      </c>
      <c r="B812" s="1" t="str">
        <f t="shared" si="24"/>
        <v>After 5G</v>
      </c>
      <c r="C812">
        <v>400001</v>
      </c>
      <c r="D812" t="str">
        <f t="shared" si="25"/>
        <v>Mumbai</v>
      </c>
      <c r="E812" t="s">
        <v>28</v>
      </c>
      <c r="F812">
        <v>0.61</v>
      </c>
    </row>
    <row r="813" spans="1:6">
      <c r="A813" s="1">
        <v>44774</v>
      </c>
      <c r="B813" s="1" t="str">
        <f t="shared" si="24"/>
        <v>After 5G</v>
      </c>
      <c r="C813">
        <v>110001</v>
      </c>
      <c r="D813" t="str">
        <f t="shared" si="25"/>
        <v>Delhi</v>
      </c>
      <c r="E813" t="s">
        <v>28</v>
      </c>
      <c r="F813">
        <v>0.75</v>
      </c>
    </row>
    <row r="814" spans="1:6">
      <c r="A814" s="1">
        <v>44774</v>
      </c>
      <c r="B814" s="1" t="str">
        <f t="shared" si="24"/>
        <v>After 5G</v>
      </c>
      <c r="C814">
        <v>700001</v>
      </c>
      <c r="D814" t="str">
        <f t="shared" si="25"/>
        <v>Kolkata</v>
      </c>
      <c r="E814" t="s">
        <v>28</v>
      </c>
      <c r="F814">
        <v>0.55000000000000004</v>
      </c>
    </row>
    <row r="815" spans="1:6">
      <c r="A815" s="1">
        <v>44774</v>
      </c>
      <c r="B815" s="1" t="str">
        <f t="shared" si="24"/>
        <v>After 5G</v>
      </c>
      <c r="C815">
        <v>560001</v>
      </c>
      <c r="D815" t="str">
        <f t="shared" si="25"/>
        <v>Bangalore</v>
      </c>
      <c r="E815" t="s">
        <v>28</v>
      </c>
      <c r="F815">
        <v>0.67</v>
      </c>
    </row>
    <row r="816" spans="1:6">
      <c r="A816" s="1">
        <v>44774</v>
      </c>
      <c r="B816" s="1" t="str">
        <f t="shared" si="24"/>
        <v>After 5G</v>
      </c>
      <c r="C816">
        <v>600001</v>
      </c>
      <c r="D816" t="str">
        <f t="shared" si="25"/>
        <v>Chennai</v>
      </c>
      <c r="E816" t="s">
        <v>28</v>
      </c>
      <c r="F816">
        <v>0.36</v>
      </c>
    </row>
    <row r="817" spans="1:6">
      <c r="A817" s="1">
        <v>44774</v>
      </c>
      <c r="B817" s="1" t="str">
        <f t="shared" si="24"/>
        <v>After 5G</v>
      </c>
      <c r="C817">
        <v>500001</v>
      </c>
      <c r="D817" t="str">
        <f t="shared" si="25"/>
        <v>Hyderabad</v>
      </c>
      <c r="E817" t="s">
        <v>28</v>
      </c>
      <c r="F817">
        <v>0.44</v>
      </c>
    </row>
    <row r="818" spans="1:6">
      <c r="A818" s="1">
        <v>44774</v>
      </c>
      <c r="B818" s="1" t="str">
        <f t="shared" si="24"/>
        <v>After 5G</v>
      </c>
      <c r="C818">
        <v>411001</v>
      </c>
      <c r="D818" t="str">
        <f t="shared" si="25"/>
        <v>Pune</v>
      </c>
      <c r="E818" t="s">
        <v>28</v>
      </c>
      <c r="F818">
        <v>0.11</v>
      </c>
    </row>
    <row r="819" spans="1:6">
      <c r="A819" s="1">
        <v>44774</v>
      </c>
      <c r="B819" s="1" t="str">
        <f t="shared" si="24"/>
        <v>After 5G</v>
      </c>
      <c r="C819">
        <v>380001</v>
      </c>
      <c r="D819" t="str">
        <f t="shared" si="25"/>
        <v>Ahmedabad</v>
      </c>
      <c r="E819" t="s">
        <v>28</v>
      </c>
      <c r="F819">
        <v>0.22</v>
      </c>
    </row>
    <row r="820" spans="1:6">
      <c r="A820" s="1">
        <v>44774</v>
      </c>
      <c r="B820" s="1" t="str">
        <f t="shared" si="24"/>
        <v>After 5G</v>
      </c>
      <c r="C820">
        <v>302001</v>
      </c>
      <c r="D820" t="str">
        <f t="shared" si="25"/>
        <v>Jaipur</v>
      </c>
      <c r="E820" t="s">
        <v>28</v>
      </c>
      <c r="F820">
        <v>7.0000000000000007E-2</v>
      </c>
    </row>
    <row r="821" spans="1:6">
      <c r="A821" s="1">
        <v>44774</v>
      </c>
      <c r="B821" s="1" t="str">
        <f t="shared" si="24"/>
        <v>After 5G</v>
      </c>
      <c r="C821">
        <v>226001</v>
      </c>
      <c r="D821" t="str">
        <f t="shared" si="25"/>
        <v>Lucknow</v>
      </c>
      <c r="E821" t="s">
        <v>28</v>
      </c>
      <c r="F821">
        <v>0.18</v>
      </c>
    </row>
    <row r="822" spans="1:6">
      <c r="A822" s="1">
        <v>44774</v>
      </c>
      <c r="B822" s="1" t="str">
        <f t="shared" si="24"/>
        <v>After 5G</v>
      </c>
      <c r="C822">
        <v>800008</v>
      </c>
      <c r="D822" t="str">
        <f t="shared" si="25"/>
        <v>Patna</v>
      </c>
      <c r="E822" t="s">
        <v>28</v>
      </c>
      <c r="F822">
        <v>0.13</v>
      </c>
    </row>
    <row r="823" spans="1:6">
      <c r="A823" s="1">
        <v>44774</v>
      </c>
      <c r="B823" s="1" t="str">
        <f t="shared" si="24"/>
        <v>After 5G</v>
      </c>
      <c r="C823">
        <v>641001</v>
      </c>
      <c r="D823" t="str">
        <f t="shared" si="25"/>
        <v>Coimbatore</v>
      </c>
      <c r="E823" t="s">
        <v>28</v>
      </c>
      <c r="F823">
        <v>0.2</v>
      </c>
    </row>
    <row r="824" spans="1:6">
      <c r="A824" s="1">
        <v>44774</v>
      </c>
      <c r="B824" s="1" t="str">
        <f t="shared" si="24"/>
        <v>After 5G</v>
      </c>
      <c r="C824">
        <v>160017</v>
      </c>
      <c r="D824" t="str">
        <f t="shared" si="25"/>
        <v>Chandigarh</v>
      </c>
      <c r="E824" t="s">
        <v>28</v>
      </c>
      <c r="F824">
        <v>0.08</v>
      </c>
    </row>
    <row r="825" spans="1:6">
      <c r="A825" s="1">
        <v>44774</v>
      </c>
      <c r="B825" s="1" t="str">
        <f t="shared" si="24"/>
        <v>After 5G</v>
      </c>
      <c r="C825">
        <v>122001</v>
      </c>
      <c r="D825" t="str">
        <f t="shared" si="25"/>
        <v>Gurgaon</v>
      </c>
      <c r="E825" t="s">
        <v>28</v>
      </c>
      <c r="F825">
        <v>7.0000000000000007E-2</v>
      </c>
    </row>
    <row r="826" spans="1:6">
      <c r="A826" s="1">
        <v>44774</v>
      </c>
      <c r="B826" s="1" t="str">
        <f t="shared" si="24"/>
        <v>After 5G</v>
      </c>
      <c r="C826">
        <v>492001</v>
      </c>
      <c r="D826" t="str">
        <f t="shared" si="25"/>
        <v>Raipur</v>
      </c>
      <c r="E826" t="s">
        <v>28</v>
      </c>
      <c r="F826">
        <v>0.03</v>
      </c>
    </row>
    <row r="827" spans="1:6">
      <c r="A827" s="1">
        <v>44805</v>
      </c>
      <c r="B827" s="1" t="str">
        <f t="shared" si="24"/>
        <v>After 5G</v>
      </c>
      <c r="C827">
        <v>400001</v>
      </c>
      <c r="D827" t="str">
        <f t="shared" si="25"/>
        <v>Mumbai</v>
      </c>
      <c r="E827" t="s">
        <v>28</v>
      </c>
      <c r="F827">
        <v>0.47</v>
      </c>
    </row>
    <row r="828" spans="1:6">
      <c r="A828" s="1">
        <v>44805</v>
      </c>
      <c r="B828" s="1" t="str">
        <f t="shared" si="24"/>
        <v>After 5G</v>
      </c>
      <c r="C828">
        <v>110001</v>
      </c>
      <c r="D828" t="str">
        <f t="shared" si="25"/>
        <v>Delhi</v>
      </c>
      <c r="E828" t="s">
        <v>28</v>
      </c>
      <c r="F828">
        <v>0.41</v>
      </c>
    </row>
    <row r="829" spans="1:6">
      <c r="A829" s="1">
        <v>44805</v>
      </c>
      <c r="B829" s="1" t="str">
        <f t="shared" si="24"/>
        <v>After 5G</v>
      </c>
      <c r="C829">
        <v>700001</v>
      </c>
      <c r="D829" t="str">
        <f t="shared" si="25"/>
        <v>Kolkata</v>
      </c>
      <c r="E829" t="s">
        <v>28</v>
      </c>
      <c r="F829">
        <v>0.69</v>
      </c>
    </row>
    <row r="830" spans="1:6">
      <c r="A830" s="1">
        <v>44805</v>
      </c>
      <c r="B830" s="1" t="str">
        <f t="shared" si="24"/>
        <v>After 5G</v>
      </c>
      <c r="C830">
        <v>560001</v>
      </c>
      <c r="D830" t="str">
        <f t="shared" si="25"/>
        <v>Bangalore</v>
      </c>
      <c r="E830" t="s">
        <v>28</v>
      </c>
      <c r="F830">
        <v>0.44</v>
      </c>
    </row>
    <row r="831" spans="1:6">
      <c r="A831" s="1">
        <v>44805</v>
      </c>
      <c r="B831" s="1" t="str">
        <f t="shared" si="24"/>
        <v>After 5G</v>
      </c>
      <c r="C831">
        <v>600001</v>
      </c>
      <c r="D831" t="str">
        <f t="shared" si="25"/>
        <v>Chennai</v>
      </c>
      <c r="E831" t="s">
        <v>28</v>
      </c>
      <c r="F831">
        <v>0.34</v>
      </c>
    </row>
    <row r="832" spans="1:6">
      <c r="A832" s="1">
        <v>44805</v>
      </c>
      <c r="B832" s="1" t="str">
        <f t="shared" si="24"/>
        <v>After 5G</v>
      </c>
      <c r="C832">
        <v>500001</v>
      </c>
      <c r="D832" t="str">
        <f t="shared" si="25"/>
        <v>Hyderabad</v>
      </c>
      <c r="E832" t="s">
        <v>28</v>
      </c>
      <c r="F832">
        <v>0.28000000000000003</v>
      </c>
    </row>
    <row r="833" spans="1:6">
      <c r="A833" s="1">
        <v>44805</v>
      </c>
      <c r="B833" s="1" t="str">
        <f t="shared" si="24"/>
        <v>After 5G</v>
      </c>
      <c r="C833">
        <v>411001</v>
      </c>
      <c r="D833" t="str">
        <f t="shared" si="25"/>
        <v>Pune</v>
      </c>
      <c r="E833" t="s">
        <v>28</v>
      </c>
      <c r="F833">
        <v>0.54</v>
      </c>
    </row>
    <row r="834" spans="1:6">
      <c r="A834" s="1">
        <v>44805</v>
      </c>
      <c r="B834" s="1" t="str">
        <f t="shared" si="24"/>
        <v>After 5G</v>
      </c>
      <c r="C834">
        <v>380001</v>
      </c>
      <c r="D834" t="str">
        <f t="shared" si="25"/>
        <v>Ahmedabad</v>
      </c>
      <c r="E834" t="s">
        <v>28</v>
      </c>
      <c r="F834">
        <v>0.35</v>
      </c>
    </row>
    <row r="835" spans="1:6">
      <c r="A835" s="1">
        <v>44805</v>
      </c>
      <c r="B835" s="1" t="str">
        <f t="shared" ref="B835:B898" si="26">VLOOKUP(A835,$H$2:$K$9,3,FALSE)</f>
        <v>After 5G</v>
      </c>
      <c r="C835">
        <v>302001</v>
      </c>
      <c r="D835" t="str">
        <f t="shared" ref="D835:D898" si="27">VLOOKUP(C835,$M$2:$N$16,2,FALSE)</f>
        <v>Jaipur</v>
      </c>
      <c r="E835" t="s">
        <v>28</v>
      </c>
      <c r="F835">
        <v>0.19</v>
      </c>
    </row>
    <row r="836" spans="1:6">
      <c r="A836" s="1">
        <v>44805</v>
      </c>
      <c r="B836" s="1" t="str">
        <f t="shared" si="26"/>
        <v>After 5G</v>
      </c>
      <c r="C836">
        <v>226001</v>
      </c>
      <c r="D836" t="str">
        <f t="shared" si="27"/>
        <v>Lucknow</v>
      </c>
      <c r="E836" t="s">
        <v>28</v>
      </c>
      <c r="F836">
        <v>0.17</v>
      </c>
    </row>
    <row r="837" spans="1:6">
      <c r="A837" s="1">
        <v>44805</v>
      </c>
      <c r="B837" s="1" t="str">
        <f t="shared" si="26"/>
        <v>After 5G</v>
      </c>
      <c r="C837">
        <v>800008</v>
      </c>
      <c r="D837" t="str">
        <f t="shared" si="27"/>
        <v>Patna</v>
      </c>
      <c r="E837" t="s">
        <v>28</v>
      </c>
      <c r="F837">
        <v>0.1</v>
      </c>
    </row>
    <row r="838" spans="1:6">
      <c r="A838" s="1">
        <v>44805</v>
      </c>
      <c r="B838" s="1" t="str">
        <f t="shared" si="26"/>
        <v>After 5G</v>
      </c>
      <c r="C838">
        <v>641001</v>
      </c>
      <c r="D838" t="str">
        <f t="shared" si="27"/>
        <v>Coimbatore</v>
      </c>
      <c r="E838" t="s">
        <v>28</v>
      </c>
      <c r="F838">
        <v>7.0000000000000007E-2</v>
      </c>
    </row>
    <row r="839" spans="1:6">
      <c r="A839" s="1">
        <v>44805</v>
      </c>
      <c r="B839" s="1" t="str">
        <f t="shared" si="26"/>
        <v>After 5G</v>
      </c>
      <c r="C839">
        <v>160017</v>
      </c>
      <c r="D839" t="str">
        <f t="shared" si="27"/>
        <v>Chandigarh</v>
      </c>
      <c r="E839" t="s">
        <v>28</v>
      </c>
      <c r="F839">
        <v>0.15</v>
      </c>
    </row>
    <row r="840" spans="1:6">
      <c r="A840" s="1">
        <v>44805</v>
      </c>
      <c r="B840" s="1" t="str">
        <f t="shared" si="26"/>
        <v>After 5G</v>
      </c>
      <c r="C840">
        <v>122001</v>
      </c>
      <c r="D840" t="str">
        <f t="shared" si="27"/>
        <v>Gurgaon</v>
      </c>
      <c r="E840" t="s">
        <v>28</v>
      </c>
      <c r="F840">
        <v>7.0000000000000007E-2</v>
      </c>
    </row>
    <row r="841" spans="1:6">
      <c r="A841" s="1">
        <v>44805</v>
      </c>
      <c r="B841" s="1" t="str">
        <f t="shared" si="26"/>
        <v>After 5G</v>
      </c>
      <c r="C841">
        <v>492001</v>
      </c>
      <c r="D841" t="str">
        <f t="shared" si="27"/>
        <v>Raipur</v>
      </c>
      <c r="E841" t="s">
        <v>28</v>
      </c>
      <c r="F841">
        <v>0.05</v>
      </c>
    </row>
    <row r="842" spans="1:6">
      <c r="A842" s="1">
        <v>44562</v>
      </c>
      <c r="B842" s="1" t="str">
        <f t="shared" si="26"/>
        <v>Before 5G</v>
      </c>
      <c r="C842">
        <v>400001</v>
      </c>
      <c r="D842" t="str">
        <f t="shared" si="27"/>
        <v>Mumbai</v>
      </c>
      <c r="E842" t="s">
        <v>30</v>
      </c>
      <c r="F842">
        <v>1.39</v>
      </c>
    </row>
    <row r="843" spans="1:6">
      <c r="A843" s="1">
        <v>44562</v>
      </c>
      <c r="B843" s="1" t="str">
        <f t="shared" si="26"/>
        <v>Before 5G</v>
      </c>
      <c r="C843">
        <v>400001</v>
      </c>
      <c r="D843" t="str">
        <f t="shared" si="27"/>
        <v>Mumbai</v>
      </c>
      <c r="E843" t="s">
        <v>32</v>
      </c>
      <c r="F843">
        <v>0.7</v>
      </c>
    </row>
    <row r="844" spans="1:6">
      <c r="A844" s="1">
        <v>44562</v>
      </c>
      <c r="B844" s="1" t="str">
        <f t="shared" si="26"/>
        <v>Before 5G</v>
      </c>
      <c r="C844">
        <v>400001</v>
      </c>
      <c r="D844" t="str">
        <f t="shared" si="27"/>
        <v>Mumbai</v>
      </c>
      <c r="E844" t="s">
        <v>34</v>
      </c>
      <c r="F844">
        <v>0.52</v>
      </c>
    </row>
    <row r="845" spans="1:6">
      <c r="A845" s="1">
        <v>44562</v>
      </c>
      <c r="B845" s="1" t="str">
        <f t="shared" si="26"/>
        <v>Before 5G</v>
      </c>
      <c r="C845">
        <v>110001</v>
      </c>
      <c r="D845" t="str">
        <f t="shared" si="27"/>
        <v>Delhi</v>
      </c>
      <c r="E845" t="s">
        <v>30</v>
      </c>
      <c r="F845">
        <v>1.1499999999999999</v>
      </c>
    </row>
    <row r="846" spans="1:6">
      <c r="A846" s="1">
        <v>44562</v>
      </c>
      <c r="B846" s="1" t="str">
        <f t="shared" si="26"/>
        <v>Before 5G</v>
      </c>
      <c r="C846">
        <v>110001</v>
      </c>
      <c r="D846" t="str">
        <f t="shared" si="27"/>
        <v>Delhi</v>
      </c>
      <c r="E846" t="s">
        <v>32</v>
      </c>
      <c r="F846">
        <v>0.72</v>
      </c>
    </row>
    <row r="847" spans="1:6">
      <c r="A847" s="1">
        <v>44562</v>
      </c>
      <c r="B847" s="1" t="str">
        <f t="shared" si="26"/>
        <v>Before 5G</v>
      </c>
      <c r="C847">
        <v>110001</v>
      </c>
      <c r="D847" t="str">
        <f t="shared" si="27"/>
        <v>Delhi</v>
      </c>
      <c r="E847" t="s">
        <v>34</v>
      </c>
      <c r="F847">
        <v>0.28999999999999998</v>
      </c>
    </row>
    <row r="848" spans="1:6">
      <c r="A848" s="1">
        <v>44562</v>
      </c>
      <c r="B848" s="1" t="str">
        <f t="shared" si="26"/>
        <v>Before 5G</v>
      </c>
      <c r="C848">
        <v>700001</v>
      </c>
      <c r="D848" t="str">
        <f t="shared" si="27"/>
        <v>Kolkata</v>
      </c>
      <c r="E848" t="s">
        <v>30</v>
      </c>
      <c r="F848">
        <v>0.97</v>
      </c>
    </row>
    <row r="849" spans="1:6">
      <c r="A849" s="1">
        <v>44562</v>
      </c>
      <c r="B849" s="1" t="str">
        <f t="shared" si="26"/>
        <v>Before 5G</v>
      </c>
      <c r="C849">
        <v>700001</v>
      </c>
      <c r="D849" t="str">
        <f t="shared" si="27"/>
        <v>Kolkata</v>
      </c>
      <c r="E849" t="s">
        <v>32</v>
      </c>
      <c r="F849">
        <v>0.69</v>
      </c>
    </row>
    <row r="850" spans="1:6">
      <c r="A850" s="1">
        <v>44562</v>
      </c>
      <c r="B850" s="1" t="str">
        <f t="shared" si="26"/>
        <v>Before 5G</v>
      </c>
      <c r="C850">
        <v>700001</v>
      </c>
      <c r="D850" t="str">
        <f t="shared" si="27"/>
        <v>Kolkata</v>
      </c>
      <c r="E850" t="s">
        <v>34</v>
      </c>
      <c r="F850">
        <v>0.14000000000000001</v>
      </c>
    </row>
    <row r="851" spans="1:6">
      <c r="A851" s="1">
        <v>44562</v>
      </c>
      <c r="B851" s="1" t="str">
        <f t="shared" si="26"/>
        <v>Before 5G</v>
      </c>
      <c r="C851">
        <v>560001</v>
      </c>
      <c r="D851" t="str">
        <f t="shared" si="27"/>
        <v>Bangalore</v>
      </c>
      <c r="E851" t="s">
        <v>30</v>
      </c>
      <c r="F851">
        <v>1</v>
      </c>
    </row>
    <row r="852" spans="1:6">
      <c r="A852" s="1">
        <v>44562</v>
      </c>
      <c r="B852" s="1" t="str">
        <f t="shared" si="26"/>
        <v>Before 5G</v>
      </c>
      <c r="C852">
        <v>560001</v>
      </c>
      <c r="D852" t="str">
        <f t="shared" si="27"/>
        <v>Bangalore</v>
      </c>
      <c r="E852" t="s">
        <v>32</v>
      </c>
      <c r="F852">
        <v>0.63</v>
      </c>
    </row>
    <row r="853" spans="1:6">
      <c r="A853" s="1">
        <v>44562</v>
      </c>
      <c r="B853" s="1" t="str">
        <f t="shared" si="26"/>
        <v>Before 5G</v>
      </c>
      <c r="C853">
        <v>560001</v>
      </c>
      <c r="D853" t="str">
        <f t="shared" si="27"/>
        <v>Bangalore</v>
      </c>
      <c r="E853" t="s">
        <v>34</v>
      </c>
      <c r="F853">
        <v>0.25</v>
      </c>
    </row>
    <row r="854" spans="1:6">
      <c r="A854" s="1">
        <v>44562</v>
      </c>
      <c r="B854" s="1" t="str">
        <f t="shared" si="26"/>
        <v>Before 5G</v>
      </c>
      <c r="C854">
        <v>600001</v>
      </c>
      <c r="D854" t="str">
        <f t="shared" si="27"/>
        <v>Chennai</v>
      </c>
      <c r="E854" t="s">
        <v>30</v>
      </c>
      <c r="F854">
        <v>0.78</v>
      </c>
    </row>
    <row r="855" spans="1:6">
      <c r="A855" s="1">
        <v>44562</v>
      </c>
      <c r="B855" s="1" t="str">
        <f t="shared" si="26"/>
        <v>Before 5G</v>
      </c>
      <c r="C855">
        <v>600001</v>
      </c>
      <c r="D855" t="str">
        <f t="shared" si="27"/>
        <v>Chennai</v>
      </c>
      <c r="E855" t="s">
        <v>32</v>
      </c>
      <c r="F855">
        <v>0.39</v>
      </c>
    </row>
    <row r="856" spans="1:6">
      <c r="A856" s="1">
        <v>44562</v>
      </c>
      <c r="B856" s="1" t="str">
        <f t="shared" si="26"/>
        <v>Before 5G</v>
      </c>
      <c r="C856">
        <v>600001</v>
      </c>
      <c r="D856" t="str">
        <f t="shared" si="27"/>
        <v>Chennai</v>
      </c>
      <c r="E856" t="s">
        <v>34</v>
      </c>
      <c r="F856">
        <v>0.1</v>
      </c>
    </row>
    <row r="857" spans="1:6">
      <c r="A857" s="1">
        <v>44562</v>
      </c>
      <c r="B857" s="1" t="str">
        <f t="shared" si="26"/>
        <v>Before 5G</v>
      </c>
      <c r="C857">
        <v>500001</v>
      </c>
      <c r="D857" t="str">
        <f t="shared" si="27"/>
        <v>Hyderabad</v>
      </c>
      <c r="E857" t="s">
        <v>30</v>
      </c>
      <c r="F857">
        <v>0.83</v>
      </c>
    </row>
    <row r="858" spans="1:6">
      <c r="A858" s="1">
        <v>44562</v>
      </c>
      <c r="B858" s="1" t="str">
        <f t="shared" si="26"/>
        <v>Before 5G</v>
      </c>
      <c r="C858">
        <v>500001</v>
      </c>
      <c r="D858" t="str">
        <f t="shared" si="27"/>
        <v>Hyderabad</v>
      </c>
      <c r="E858" t="s">
        <v>32</v>
      </c>
      <c r="F858">
        <v>0.42</v>
      </c>
    </row>
    <row r="859" spans="1:6">
      <c r="A859" s="1">
        <v>44562</v>
      </c>
      <c r="B859" s="1" t="str">
        <f t="shared" si="26"/>
        <v>Before 5G</v>
      </c>
      <c r="C859">
        <v>500001</v>
      </c>
      <c r="D859" t="str">
        <f t="shared" si="27"/>
        <v>Hyderabad</v>
      </c>
      <c r="E859" t="s">
        <v>34</v>
      </c>
      <c r="F859">
        <v>0.17</v>
      </c>
    </row>
    <row r="860" spans="1:6">
      <c r="A860" s="1">
        <v>44562</v>
      </c>
      <c r="B860" s="1" t="str">
        <f t="shared" si="26"/>
        <v>Before 5G</v>
      </c>
      <c r="C860">
        <v>411001</v>
      </c>
      <c r="D860" t="str">
        <f t="shared" si="27"/>
        <v>Pune</v>
      </c>
      <c r="E860" t="s">
        <v>30</v>
      </c>
      <c r="F860">
        <v>0.51</v>
      </c>
    </row>
    <row r="861" spans="1:6">
      <c r="A861" s="1">
        <v>44562</v>
      </c>
      <c r="B861" s="1" t="str">
        <f t="shared" si="26"/>
        <v>Before 5G</v>
      </c>
      <c r="C861">
        <v>411001</v>
      </c>
      <c r="D861" t="str">
        <f t="shared" si="27"/>
        <v>Pune</v>
      </c>
      <c r="E861" t="s">
        <v>32</v>
      </c>
      <c r="F861">
        <v>0.28999999999999998</v>
      </c>
    </row>
    <row r="862" spans="1:6">
      <c r="A862" s="1">
        <v>44562</v>
      </c>
      <c r="B862" s="1" t="str">
        <f t="shared" si="26"/>
        <v>Before 5G</v>
      </c>
      <c r="C862">
        <v>411001</v>
      </c>
      <c r="D862" t="str">
        <f t="shared" si="27"/>
        <v>Pune</v>
      </c>
      <c r="E862" t="s">
        <v>34</v>
      </c>
      <c r="F862">
        <v>7.0000000000000007E-2</v>
      </c>
    </row>
    <row r="863" spans="1:6">
      <c r="A863" s="1">
        <v>44562</v>
      </c>
      <c r="B863" s="1" t="str">
        <f t="shared" si="26"/>
        <v>Before 5G</v>
      </c>
      <c r="C863">
        <v>380001</v>
      </c>
      <c r="D863" t="str">
        <f t="shared" si="27"/>
        <v>Ahmedabad</v>
      </c>
      <c r="E863" t="s">
        <v>30</v>
      </c>
      <c r="F863">
        <v>0.62</v>
      </c>
    </row>
    <row r="864" spans="1:6">
      <c r="A864" s="1">
        <v>44562</v>
      </c>
      <c r="B864" s="1" t="str">
        <f t="shared" si="26"/>
        <v>Before 5G</v>
      </c>
      <c r="C864">
        <v>380001</v>
      </c>
      <c r="D864" t="str">
        <f t="shared" si="27"/>
        <v>Ahmedabad</v>
      </c>
      <c r="E864" t="s">
        <v>32</v>
      </c>
      <c r="F864">
        <v>0.34</v>
      </c>
    </row>
    <row r="865" spans="1:6">
      <c r="A865" s="1">
        <v>44562</v>
      </c>
      <c r="B865" s="1" t="str">
        <f t="shared" si="26"/>
        <v>Before 5G</v>
      </c>
      <c r="C865">
        <v>380001</v>
      </c>
      <c r="D865" t="str">
        <f t="shared" si="27"/>
        <v>Ahmedabad</v>
      </c>
      <c r="E865" t="s">
        <v>34</v>
      </c>
      <c r="F865">
        <v>0.21</v>
      </c>
    </row>
    <row r="866" spans="1:6">
      <c r="A866" s="1">
        <v>44562</v>
      </c>
      <c r="B866" s="1" t="str">
        <f t="shared" si="26"/>
        <v>Before 5G</v>
      </c>
      <c r="C866">
        <v>302001</v>
      </c>
      <c r="D866" t="str">
        <f t="shared" si="27"/>
        <v>Jaipur</v>
      </c>
      <c r="E866" t="s">
        <v>30</v>
      </c>
      <c r="F866">
        <v>0.68</v>
      </c>
    </row>
    <row r="867" spans="1:6">
      <c r="A867" s="1">
        <v>44562</v>
      </c>
      <c r="B867" s="1" t="str">
        <f t="shared" si="26"/>
        <v>Before 5G</v>
      </c>
      <c r="C867">
        <v>302001</v>
      </c>
      <c r="D867" t="str">
        <f t="shared" si="27"/>
        <v>Jaipur</v>
      </c>
      <c r="E867" t="s">
        <v>32</v>
      </c>
      <c r="F867">
        <v>0.34</v>
      </c>
    </row>
    <row r="868" spans="1:6">
      <c r="A868" s="1">
        <v>44562</v>
      </c>
      <c r="B868" s="1" t="str">
        <f t="shared" si="26"/>
        <v>Before 5G</v>
      </c>
      <c r="C868">
        <v>302001</v>
      </c>
      <c r="D868" t="str">
        <f t="shared" si="27"/>
        <v>Jaipur</v>
      </c>
      <c r="E868" t="s">
        <v>34</v>
      </c>
      <c r="F868">
        <v>0.14000000000000001</v>
      </c>
    </row>
    <row r="869" spans="1:6">
      <c r="A869" s="1">
        <v>44562</v>
      </c>
      <c r="B869" s="1" t="str">
        <f t="shared" si="26"/>
        <v>Before 5G</v>
      </c>
      <c r="C869">
        <v>226001</v>
      </c>
      <c r="D869" t="str">
        <f t="shared" si="27"/>
        <v>Lucknow</v>
      </c>
      <c r="E869" t="s">
        <v>30</v>
      </c>
      <c r="F869">
        <v>0.38</v>
      </c>
    </row>
    <row r="870" spans="1:6">
      <c r="A870" s="1">
        <v>44562</v>
      </c>
      <c r="B870" s="1" t="str">
        <f t="shared" si="26"/>
        <v>Before 5G</v>
      </c>
      <c r="C870">
        <v>226001</v>
      </c>
      <c r="D870" t="str">
        <f t="shared" si="27"/>
        <v>Lucknow</v>
      </c>
      <c r="E870" t="s">
        <v>32</v>
      </c>
      <c r="F870">
        <v>0.25</v>
      </c>
    </row>
    <row r="871" spans="1:6">
      <c r="A871" s="1">
        <v>44562</v>
      </c>
      <c r="B871" s="1" t="str">
        <f t="shared" si="26"/>
        <v>Before 5G</v>
      </c>
      <c r="C871">
        <v>226001</v>
      </c>
      <c r="D871" t="str">
        <f t="shared" si="27"/>
        <v>Lucknow</v>
      </c>
      <c r="E871" t="s">
        <v>34</v>
      </c>
      <c r="F871">
        <v>0.13</v>
      </c>
    </row>
    <row r="872" spans="1:6">
      <c r="A872" s="1">
        <v>44562</v>
      </c>
      <c r="B872" s="1" t="str">
        <f t="shared" si="26"/>
        <v>Before 5G</v>
      </c>
      <c r="C872">
        <v>800008</v>
      </c>
      <c r="D872" t="str">
        <f t="shared" si="27"/>
        <v>Patna</v>
      </c>
      <c r="E872" t="s">
        <v>30</v>
      </c>
      <c r="F872">
        <v>0.53</v>
      </c>
    </row>
    <row r="873" spans="1:6">
      <c r="A873" s="1">
        <v>44562</v>
      </c>
      <c r="B873" s="1" t="str">
        <f t="shared" si="26"/>
        <v>Before 5G</v>
      </c>
      <c r="C873">
        <v>800008</v>
      </c>
      <c r="D873" t="str">
        <f t="shared" si="27"/>
        <v>Patna</v>
      </c>
      <c r="E873" t="s">
        <v>32</v>
      </c>
      <c r="F873">
        <v>0.21</v>
      </c>
    </row>
    <row r="874" spans="1:6">
      <c r="A874" s="1">
        <v>44562</v>
      </c>
      <c r="B874" s="1" t="str">
        <f t="shared" si="26"/>
        <v>Before 5G</v>
      </c>
      <c r="C874">
        <v>800008</v>
      </c>
      <c r="D874" t="str">
        <f t="shared" si="27"/>
        <v>Patna</v>
      </c>
      <c r="E874" t="s">
        <v>34</v>
      </c>
      <c r="F874">
        <v>0.11</v>
      </c>
    </row>
    <row r="875" spans="1:6">
      <c r="A875" s="1">
        <v>44562</v>
      </c>
      <c r="B875" s="1" t="str">
        <f t="shared" si="26"/>
        <v>Before 5G</v>
      </c>
      <c r="C875">
        <v>641001</v>
      </c>
      <c r="D875" t="str">
        <f t="shared" si="27"/>
        <v>Coimbatore</v>
      </c>
      <c r="E875" t="s">
        <v>30</v>
      </c>
      <c r="F875">
        <v>0.15</v>
      </c>
    </row>
    <row r="876" spans="1:6">
      <c r="A876" s="1">
        <v>44562</v>
      </c>
      <c r="B876" s="1" t="str">
        <f t="shared" si="26"/>
        <v>Before 5G</v>
      </c>
      <c r="C876">
        <v>641001</v>
      </c>
      <c r="D876" t="str">
        <f t="shared" si="27"/>
        <v>Coimbatore</v>
      </c>
      <c r="E876" t="s">
        <v>32</v>
      </c>
      <c r="F876">
        <v>0.09</v>
      </c>
    </row>
    <row r="877" spans="1:6">
      <c r="A877" s="1">
        <v>44562</v>
      </c>
      <c r="B877" s="1" t="str">
        <f t="shared" si="26"/>
        <v>Before 5G</v>
      </c>
      <c r="C877">
        <v>641001</v>
      </c>
      <c r="D877" t="str">
        <f t="shared" si="27"/>
        <v>Coimbatore</v>
      </c>
      <c r="E877" t="s">
        <v>34</v>
      </c>
      <c r="F877">
        <v>0.04</v>
      </c>
    </row>
    <row r="878" spans="1:6">
      <c r="A878" s="1">
        <v>44562</v>
      </c>
      <c r="B878" s="1" t="str">
        <f t="shared" si="26"/>
        <v>Before 5G</v>
      </c>
      <c r="C878">
        <v>160017</v>
      </c>
      <c r="D878" t="str">
        <f t="shared" si="27"/>
        <v>Chandigarh</v>
      </c>
      <c r="E878" t="s">
        <v>30</v>
      </c>
      <c r="F878">
        <v>0.14000000000000001</v>
      </c>
    </row>
    <row r="879" spans="1:6">
      <c r="A879" s="1">
        <v>44562</v>
      </c>
      <c r="B879" s="1" t="str">
        <f t="shared" si="26"/>
        <v>Before 5G</v>
      </c>
      <c r="C879">
        <v>160017</v>
      </c>
      <c r="D879" t="str">
        <f t="shared" si="27"/>
        <v>Chandigarh</v>
      </c>
      <c r="E879" t="s">
        <v>32</v>
      </c>
      <c r="F879">
        <v>0.06</v>
      </c>
    </row>
    <row r="880" spans="1:6">
      <c r="A880" s="1">
        <v>44562</v>
      </c>
      <c r="B880" s="1" t="str">
        <f t="shared" si="26"/>
        <v>Before 5G</v>
      </c>
      <c r="C880">
        <v>160017</v>
      </c>
      <c r="D880" t="str">
        <f t="shared" si="27"/>
        <v>Chandigarh</v>
      </c>
      <c r="E880" t="s">
        <v>34</v>
      </c>
      <c r="F880">
        <v>0.06</v>
      </c>
    </row>
    <row r="881" spans="1:6">
      <c r="A881" s="1">
        <v>44562</v>
      </c>
      <c r="B881" s="1" t="str">
        <f t="shared" si="26"/>
        <v>Before 5G</v>
      </c>
      <c r="C881">
        <v>122001</v>
      </c>
      <c r="D881" t="str">
        <f t="shared" si="27"/>
        <v>Gurgaon</v>
      </c>
      <c r="E881" t="s">
        <v>30</v>
      </c>
      <c r="F881">
        <v>0.14000000000000001</v>
      </c>
    </row>
    <row r="882" spans="1:6">
      <c r="A882" s="1">
        <v>44562</v>
      </c>
      <c r="B882" s="1" t="str">
        <f t="shared" si="26"/>
        <v>Before 5G</v>
      </c>
      <c r="C882">
        <v>122001</v>
      </c>
      <c r="D882" t="str">
        <f t="shared" si="27"/>
        <v>Gurgaon</v>
      </c>
      <c r="E882" t="s">
        <v>32</v>
      </c>
      <c r="F882">
        <v>0.06</v>
      </c>
    </row>
    <row r="883" spans="1:6">
      <c r="A883" s="1">
        <v>44562</v>
      </c>
      <c r="B883" s="1" t="str">
        <f t="shared" si="26"/>
        <v>Before 5G</v>
      </c>
      <c r="C883">
        <v>122001</v>
      </c>
      <c r="D883" t="str">
        <f t="shared" si="27"/>
        <v>Gurgaon</v>
      </c>
      <c r="E883" t="s">
        <v>34</v>
      </c>
      <c r="F883">
        <v>0.06</v>
      </c>
    </row>
    <row r="884" spans="1:6">
      <c r="A884" s="1">
        <v>44562</v>
      </c>
      <c r="B884" s="1" t="str">
        <f t="shared" si="26"/>
        <v>Before 5G</v>
      </c>
      <c r="C884">
        <v>492001</v>
      </c>
      <c r="D884" t="str">
        <f t="shared" si="27"/>
        <v>Raipur</v>
      </c>
      <c r="E884" t="s">
        <v>30</v>
      </c>
      <c r="F884">
        <v>0.09</v>
      </c>
    </row>
    <row r="885" spans="1:6">
      <c r="A885" s="1">
        <v>44562</v>
      </c>
      <c r="B885" s="1" t="str">
        <f t="shared" si="26"/>
        <v>Before 5G</v>
      </c>
      <c r="C885">
        <v>492001</v>
      </c>
      <c r="D885" t="str">
        <f t="shared" si="27"/>
        <v>Raipur</v>
      </c>
      <c r="E885" t="s">
        <v>32</v>
      </c>
      <c r="F885">
        <v>0.05</v>
      </c>
    </row>
    <row r="886" spans="1:6">
      <c r="A886" s="1">
        <v>44562</v>
      </c>
      <c r="B886" s="1" t="str">
        <f t="shared" si="26"/>
        <v>Before 5G</v>
      </c>
      <c r="C886">
        <v>492001</v>
      </c>
      <c r="D886" t="str">
        <f t="shared" si="27"/>
        <v>Raipur</v>
      </c>
      <c r="E886" t="s">
        <v>34</v>
      </c>
      <c r="F886">
        <v>0.04</v>
      </c>
    </row>
    <row r="887" spans="1:6">
      <c r="A887" s="1">
        <v>44593</v>
      </c>
      <c r="B887" s="1" t="str">
        <f t="shared" si="26"/>
        <v>Before 5G</v>
      </c>
      <c r="C887">
        <v>400001</v>
      </c>
      <c r="D887" t="str">
        <f t="shared" si="27"/>
        <v>Mumbai</v>
      </c>
      <c r="E887" t="s">
        <v>30</v>
      </c>
      <c r="F887">
        <v>1.61</v>
      </c>
    </row>
    <row r="888" spans="1:6">
      <c r="A888" s="1">
        <v>44593</v>
      </c>
      <c r="B888" s="1" t="str">
        <f t="shared" si="26"/>
        <v>Before 5G</v>
      </c>
      <c r="C888">
        <v>400001</v>
      </c>
      <c r="D888" t="str">
        <f t="shared" si="27"/>
        <v>Mumbai</v>
      </c>
      <c r="E888" t="s">
        <v>32</v>
      </c>
      <c r="F888">
        <v>1.01</v>
      </c>
    </row>
    <row r="889" spans="1:6">
      <c r="A889" s="1">
        <v>44593</v>
      </c>
      <c r="B889" s="1" t="str">
        <f t="shared" si="26"/>
        <v>Before 5G</v>
      </c>
      <c r="C889">
        <v>400001</v>
      </c>
      <c r="D889" t="str">
        <f t="shared" si="27"/>
        <v>Mumbai</v>
      </c>
      <c r="E889" t="s">
        <v>34</v>
      </c>
      <c r="F889">
        <v>0.4</v>
      </c>
    </row>
    <row r="890" spans="1:6">
      <c r="A890" s="1">
        <v>44593</v>
      </c>
      <c r="B890" s="1" t="str">
        <f t="shared" si="26"/>
        <v>Before 5G</v>
      </c>
      <c r="C890">
        <v>110001</v>
      </c>
      <c r="D890" t="str">
        <f t="shared" si="27"/>
        <v>Delhi</v>
      </c>
      <c r="E890" t="s">
        <v>30</v>
      </c>
      <c r="F890">
        <v>1.32</v>
      </c>
    </row>
    <row r="891" spans="1:6">
      <c r="A891" s="1">
        <v>44593</v>
      </c>
      <c r="B891" s="1" t="str">
        <f t="shared" si="26"/>
        <v>Before 5G</v>
      </c>
      <c r="C891">
        <v>110001</v>
      </c>
      <c r="D891" t="str">
        <f t="shared" si="27"/>
        <v>Delhi</v>
      </c>
      <c r="E891" t="s">
        <v>32</v>
      </c>
      <c r="F891">
        <v>0.49</v>
      </c>
    </row>
    <row r="892" spans="1:6">
      <c r="A892" s="1">
        <v>44593</v>
      </c>
      <c r="B892" s="1" t="str">
        <f t="shared" si="26"/>
        <v>Before 5G</v>
      </c>
      <c r="C892">
        <v>110001</v>
      </c>
      <c r="D892" t="str">
        <f t="shared" si="27"/>
        <v>Delhi</v>
      </c>
      <c r="E892" t="s">
        <v>34</v>
      </c>
      <c r="F892">
        <v>0.33</v>
      </c>
    </row>
    <row r="893" spans="1:6">
      <c r="A893" s="1">
        <v>44593</v>
      </c>
      <c r="B893" s="1" t="str">
        <f t="shared" si="26"/>
        <v>Before 5G</v>
      </c>
      <c r="C893">
        <v>700001</v>
      </c>
      <c r="D893" t="str">
        <f t="shared" si="27"/>
        <v>Kolkata</v>
      </c>
      <c r="E893" t="s">
        <v>30</v>
      </c>
      <c r="F893">
        <v>1.23</v>
      </c>
    </row>
    <row r="894" spans="1:6">
      <c r="A894" s="1">
        <v>44593</v>
      </c>
      <c r="B894" s="1" t="str">
        <f t="shared" si="26"/>
        <v>Before 5G</v>
      </c>
      <c r="C894">
        <v>700001</v>
      </c>
      <c r="D894" t="str">
        <f t="shared" si="27"/>
        <v>Kolkata</v>
      </c>
      <c r="E894" t="s">
        <v>32</v>
      </c>
      <c r="F894">
        <v>0.61</v>
      </c>
    </row>
    <row r="895" spans="1:6">
      <c r="A895" s="1">
        <v>44593</v>
      </c>
      <c r="B895" s="1" t="str">
        <f t="shared" si="26"/>
        <v>Before 5G</v>
      </c>
      <c r="C895">
        <v>700001</v>
      </c>
      <c r="D895" t="str">
        <f t="shared" si="27"/>
        <v>Kolkata</v>
      </c>
      <c r="E895" t="s">
        <v>34</v>
      </c>
      <c r="F895">
        <v>0.46</v>
      </c>
    </row>
    <row r="896" spans="1:6">
      <c r="A896" s="1">
        <v>44593</v>
      </c>
      <c r="B896" s="1" t="str">
        <f t="shared" si="26"/>
        <v>Before 5G</v>
      </c>
      <c r="C896">
        <v>560001</v>
      </c>
      <c r="D896" t="str">
        <f t="shared" si="27"/>
        <v>Bangalore</v>
      </c>
      <c r="E896" t="s">
        <v>30</v>
      </c>
      <c r="F896">
        <v>1.76</v>
      </c>
    </row>
    <row r="897" spans="1:6">
      <c r="A897" s="1">
        <v>44593</v>
      </c>
      <c r="B897" s="1" t="str">
        <f t="shared" si="26"/>
        <v>Before 5G</v>
      </c>
      <c r="C897">
        <v>560001</v>
      </c>
      <c r="D897" t="str">
        <f t="shared" si="27"/>
        <v>Bangalore</v>
      </c>
      <c r="E897" t="s">
        <v>32</v>
      </c>
      <c r="F897">
        <v>0.71</v>
      </c>
    </row>
    <row r="898" spans="1:6">
      <c r="A898" s="1">
        <v>44593</v>
      </c>
      <c r="B898" s="1" t="str">
        <f t="shared" si="26"/>
        <v>Before 5G</v>
      </c>
      <c r="C898">
        <v>560001</v>
      </c>
      <c r="D898" t="str">
        <f t="shared" si="27"/>
        <v>Bangalore</v>
      </c>
      <c r="E898" t="s">
        <v>34</v>
      </c>
      <c r="F898">
        <v>0.53</v>
      </c>
    </row>
    <row r="899" spans="1:6">
      <c r="A899" s="1">
        <v>44593</v>
      </c>
      <c r="B899" s="1" t="str">
        <f t="shared" ref="B899:B962" si="28">VLOOKUP(A899,$H$2:$K$9,3,FALSE)</f>
        <v>Before 5G</v>
      </c>
      <c r="C899">
        <v>600001</v>
      </c>
      <c r="D899" t="str">
        <f t="shared" ref="D899:D962" si="29">VLOOKUP(C899,$M$2:$N$16,2,FALSE)</f>
        <v>Chennai</v>
      </c>
      <c r="E899" t="s">
        <v>30</v>
      </c>
      <c r="F899">
        <v>1.7</v>
      </c>
    </row>
    <row r="900" spans="1:6">
      <c r="A900" s="1">
        <v>44593</v>
      </c>
      <c r="B900" s="1" t="str">
        <f t="shared" si="28"/>
        <v>Before 5G</v>
      </c>
      <c r="C900">
        <v>600001</v>
      </c>
      <c r="D900" t="str">
        <f t="shared" si="29"/>
        <v>Chennai</v>
      </c>
      <c r="E900" t="s">
        <v>32</v>
      </c>
      <c r="F900">
        <v>0.85</v>
      </c>
    </row>
    <row r="901" spans="1:6">
      <c r="A901" s="1">
        <v>44593</v>
      </c>
      <c r="B901" s="1" t="str">
        <f t="shared" si="28"/>
        <v>Before 5G</v>
      </c>
      <c r="C901">
        <v>600001</v>
      </c>
      <c r="D901" t="str">
        <f t="shared" si="29"/>
        <v>Chennai</v>
      </c>
      <c r="E901" t="s">
        <v>34</v>
      </c>
      <c r="F901">
        <v>0.64</v>
      </c>
    </row>
    <row r="902" spans="1:6">
      <c r="A902" s="1">
        <v>44593</v>
      </c>
      <c r="B902" s="1" t="str">
        <f t="shared" si="28"/>
        <v>Before 5G</v>
      </c>
      <c r="C902">
        <v>500001</v>
      </c>
      <c r="D902" t="str">
        <f t="shared" si="29"/>
        <v>Hyderabad</v>
      </c>
      <c r="E902" t="s">
        <v>30</v>
      </c>
      <c r="F902">
        <v>0.81</v>
      </c>
    </row>
    <row r="903" spans="1:6">
      <c r="A903" s="1">
        <v>44593</v>
      </c>
      <c r="B903" s="1" t="str">
        <f t="shared" si="28"/>
        <v>Before 5G</v>
      </c>
      <c r="C903">
        <v>500001</v>
      </c>
      <c r="D903" t="str">
        <f t="shared" si="29"/>
        <v>Hyderabad</v>
      </c>
      <c r="E903" t="s">
        <v>32</v>
      </c>
      <c r="F903">
        <v>0.35</v>
      </c>
    </row>
    <row r="904" spans="1:6">
      <c r="A904" s="1">
        <v>44593</v>
      </c>
      <c r="B904" s="1" t="str">
        <f t="shared" si="28"/>
        <v>Before 5G</v>
      </c>
      <c r="C904">
        <v>500001</v>
      </c>
      <c r="D904" t="str">
        <f t="shared" si="29"/>
        <v>Hyderabad</v>
      </c>
      <c r="E904" t="s">
        <v>34</v>
      </c>
      <c r="F904">
        <v>0.35</v>
      </c>
    </row>
    <row r="905" spans="1:6">
      <c r="A905" s="1">
        <v>44593</v>
      </c>
      <c r="B905" s="1" t="str">
        <f t="shared" si="28"/>
        <v>Before 5G</v>
      </c>
      <c r="C905">
        <v>411001</v>
      </c>
      <c r="D905" t="str">
        <f t="shared" si="29"/>
        <v>Pune</v>
      </c>
      <c r="E905" t="s">
        <v>30</v>
      </c>
      <c r="F905">
        <v>0.89</v>
      </c>
    </row>
    <row r="906" spans="1:6">
      <c r="A906" s="1">
        <v>44593</v>
      </c>
      <c r="B906" s="1" t="str">
        <f t="shared" si="28"/>
        <v>Before 5G</v>
      </c>
      <c r="C906">
        <v>411001</v>
      </c>
      <c r="D906" t="str">
        <f t="shared" si="29"/>
        <v>Pune</v>
      </c>
      <c r="E906" t="s">
        <v>32</v>
      </c>
      <c r="F906">
        <v>0.39</v>
      </c>
    </row>
    <row r="907" spans="1:6">
      <c r="A907" s="1">
        <v>44593</v>
      </c>
      <c r="B907" s="1" t="str">
        <f t="shared" si="28"/>
        <v>Before 5G</v>
      </c>
      <c r="C907">
        <v>411001</v>
      </c>
      <c r="D907" t="str">
        <f t="shared" si="29"/>
        <v>Pune</v>
      </c>
      <c r="E907" t="s">
        <v>34</v>
      </c>
      <c r="F907">
        <v>0.39</v>
      </c>
    </row>
    <row r="908" spans="1:6">
      <c r="A908" s="1">
        <v>44593</v>
      </c>
      <c r="B908" s="1" t="str">
        <f t="shared" si="28"/>
        <v>Before 5G</v>
      </c>
      <c r="C908">
        <v>380001</v>
      </c>
      <c r="D908" t="str">
        <f t="shared" si="29"/>
        <v>Ahmedabad</v>
      </c>
      <c r="E908" t="s">
        <v>30</v>
      </c>
      <c r="F908">
        <v>0.6</v>
      </c>
    </row>
    <row r="909" spans="1:6">
      <c r="A909" s="1">
        <v>44593</v>
      </c>
      <c r="B909" s="1" t="str">
        <f t="shared" si="28"/>
        <v>Before 5G</v>
      </c>
      <c r="C909">
        <v>380001</v>
      </c>
      <c r="D909" t="str">
        <f t="shared" si="29"/>
        <v>Ahmedabad</v>
      </c>
      <c r="E909" t="s">
        <v>32</v>
      </c>
      <c r="F909">
        <v>0.3</v>
      </c>
    </row>
    <row r="910" spans="1:6">
      <c r="A910" s="1">
        <v>44593</v>
      </c>
      <c r="B910" s="1" t="str">
        <f t="shared" si="28"/>
        <v>Before 5G</v>
      </c>
      <c r="C910">
        <v>380001</v>
      </c>
      <c r="D910" t="str">
        <f t="shared" si="29"/>
        <v>Ahmedabad</v>
      </c>
      <c r="E910" t="s">
        <v>34</v>
      </c>
      <c r="F910">
        <v>0.06</v>
      </c>
    </row>
    <row r="911" spans="1:6">
      <c r="A911" s="1">
        <v>44593</v>
      </c>
      <c r="B911" s="1" t="str">
        <f t="shared" si="28"/>
        <v>Before 5G</v>
      </c>
      <c r="C911">
        <v>302001</v>
      </c>
      <c r="D911" t="str">
        <f t="shared" si="29"/>
        <v>Jaipur</v>
      </c>
      <c r="E911" t="s">
        <v>30</v>
      </c>
      <c r="F911">
        <v>0.3</v>
      </c>
    </row>
    <row r="912" spans="1:6">
      <c r="A912" s="1">
        <v>44593</v>
      </c>
      <c r="B912" s="1" t="str">
        <f t="shared" si="28"/>
        <v>Before 5G</v>
      </c>
      <c r="C912">
        <v>302001</v>
      </c>
      <c r="D912" t="str">
        <f t="shared" si="29"/>
        <v>Jaipur</v>
      </c>
      <c r="E912" t="s">
        <v>32</v>
      </c>
      <c r="F912">
        <v>0.22</v>
      </c>
    </row>
    <row r="913" spans="1:6">
      <c r="A913" s="1">
        <v>44593</v>
      </c>
      <c r="B913" s="1" t="str">
        <f t="shared" si="28"/>
        <v>Before 5G</v>
      </c>
      <c r="C913">
        <v>302001</v>
      </c>
      <c r="D913" t="str">
        <f t="shared" si="29"/>
        <v>Jaipur</v>
      </c>
      <c r="E913" t="s">
        <v>34</v>
      </c>
      <c r="F913">
        <v>0.04</v>
      </c>
    </row>
    <row r="914" spans="1:6">
      <c r="A914" s="1">
        <v>44593</v>
      </c>
      <c r="B914" s="1" t="str">
        <f t="shared" si="28"/>
        <v>Before 5G</v>
      </c>
      <c r="C914">
        <v>226001</v>
      </c>
      <c r="D914" t="str">
        <f t="shared" si="29"/>
        <v>Lucknow</v>
      </c>
      <c r="E914" t="s">
        <v>30</v>
      </c>
      <c r="F914">
        <v>0.65</v>
      </c>
    </row>
    <row r="915" spans="1:6">
      <c r="A915" s="1">
        <v>44593</v>
      </c>
      <c r="B915" s="1" t="str">
        <f t="shared" si="28"/>
        <v>Before 5G</v>
      </c>
      <c r="C915">
        <v>226001</v>
      </c>
      <c r="D915" t="str">
        <f t="shared" si="29"/>
        <v>Lucknow</v>
      </c>
      <c r="E915" t="s">
        <v>32</v>
      </c>
      <c r="F915">
        <v>0.37</v>
      </c>
    </row>
    <row r="916" spans="1:6">
      <c r="A916" s="1">
        <v>44593</v>
      </c>
      <c r="B916" s="1" t="str">
        <f t="shared" si="28"/>
        <v>Before 5G</v>
      </c>
      <c r="C916">
        <v>226001</v>
      </c>
      <c r="D916" t="str">
        <f t="shared" si="29"/>
        <v>Lucknow</v>
      </c>
      <c r="E916" t="s">
        <v>34</v>
      </c>
      <c r="F916">
        <v>0.09</v>
      </c>
    </row>
    <row r="917" spans="1:6">
      <c r="A917" s="1">
        <v>44593</v>
      </c>
      <c r="B917" s="1" t="str">
        <f t="shared" si="28"/>
        <v>Before 5G</v>
      </c>
      <c r="C917">
        <v>800008</v>
      </c>
      <c r="D917" t="str">
        <f t="shared" si="29"/>
        <v>Patna</v>
      </c>
      <c r="E917" t="s">
        <v>30</v>
      </c>
      <c r="F917">
        <v>0.34</v>
      </c>
    </row>
    <row r="918" spans="1:6">
      <c r="A918" s="1">
        <v>44593</v>
      </c>
      <c r="B918" s="1" t="str">
        <f t="shared" si="28"/>
        <v>Before 5G</v>
      </c>
      <c r="C918">
        <v>800008</v>
      </c>
      <c r="D918" t="str">
        <f t="shared" si="29"/>
        <v>Patna</v>
      </c>
      <c r="E918" t="s">
        <v>32</v>
      </c>
      <c r="F918">
        <v>0.15</v>
      </c>
    </row>
    <row r="919" spans="1:6">
      <c r="A919" s="1">
        <v>44593</v>
      </c>
      <c r="B919" s="1" t="str">
        <f t="shared" si="28"/>
        <v>Before 5G</v>
      </c>
      <c r="C919">
        <v>800008</v>
      </c>
      <c r="D919" t="str">
        <f t="shared" si="29"/>
        <v>Patna</v>
      </c>
      <c r="E919" t="s">
        <v>34</v>
      </c>
      <c r="F919">
        <v>0.04</v>
      </c>
    </row>
    <row r="920" spans="1:6">
      <c r="A920" s="1">
        <v>44593</v>
      </c>
      <c r="B920" s="1" t="str">
        <f t="shared" si="28"/>
        <v>Before 5G</v>
      </c>
      <c r="C920">
        <v>641001</v>
      </c>
      <c r="D920" t="str">
        <f t="shared" si="29"/>
        <v>Coimbatore</v>
      </c>
      <c r="E920" t="s">
        <v>30</v>
      </c>
      <c r="F920">
        <v>0.33</v>
      </c>
    </row>
    <row r="921" spans="1:6">
      <c r="A921" s="1">
        <v>44593</v>
      </c>
      <c r="B921" s="1" t="str">
        <f t="shared" si="28"/>
        <v>Before 5G</v>
      </c>
      <c r="C921">
        <v>641001</v>
      </c>
      <c r="D921" t="str">
        <f t="shared" si="29"/>
        <v>Coimbatore</v>
      </c>
      <c r="E921" t="s">
        <v>32</v>
      </c>
      <c r="F921">
        <v>0.18</v>
      </c>
    </row>
    <row r="922" spans="1:6">
      <c r="A922" s="1">
        <v>44593</v>
      </c>
      <c r="B922" s="1" t="str">
        <f t="shared" si="28"/>
        <v>Before 5G</v>
      </c>
      <c r="C922">
        <v>641001</v>
      </c>
      <c r="D922" t="str">
        <f t="shared" si="29"/>
        <v>Coimbatore</v>
      </c>
      <c r="E922" t="s">
        <v>34</v>
      </c>
      <c r="F922">
        <v>0.15</v>
      </c>
    </row>
    <row r="923" spans="1:6">
      <c r="A923" s="1">
        <v>44593</v>
      </c>
      <c r="B923" s="1" t="str">
        <f t="shared" si="28"/>
        <v>Before 5G</v>
      </c>
      <c r="C923">
        <v>160017</v>
      </c>
      <c r="D923" t="str">
        <f t="shared" si="29"/>
        <v>Chandigarh</v>
      </c>
      <c r="E923" t="s">
        <v>30</v>
      </c>
      <c r="F923">
        <v>0.18</v>
      </c>
    </row>
    <row r="924" spans="1:6">
      <c r="A924" s="1">
        <v>44593</v>
      </c>
      <c r="B924" s="1" t="str">
        <f t="shared" si="28"/>
        <v>Before 5G</v>
      </c>
      <c r="C924">
        <v>160017</v>
      </c>
      <c r="D924" t="str">
        <f t="shared" si="29"/>
        <v>Chandigarh</v>
      </c>
      <c r="E924" t="s">
        <v>32</v>
      </c>
      <c r="F924">
        <v>0.09</v>
      </c>
    </row>
    <row r="925" spans="1:6">
      <c r="A925" s="1">
        <v>44593</v>
      </c>
      <c r="B925" s="1" t="str">
        <f t="shared" si="28"/>
        <v>Before 5G</v>
      </c>
      <c r="C925">
        <v>160017</v>
      </c>
      <c r="D925" t="str">
        <f t="shared" si="29"/>
        <v>Chandigarh</v>
      </c>
      <c r="E925" t="s">
        <v>34</v>
      </c>
      <c r="F925">
        <v>0.04</v>
      </c>
    </row>
    <row r="926" spans="1:6">
      <c r="A926" s="1">
        <v>44593</v>
      </c>
      <c r="B926" s="1" t="str">
        <f t="shared" si="28"/>
        <v>Before 5G</v>
      </c>
      <c r="C926">
        <v>122001</v>
      </c>
      <c r="D926" t="str">
        <f t="shared" si="29"/>
        <v>Gurgaon</v>
      </c>
      <c r="E926" t="s">
        <v>30</v>
      </c>
      <c r="F926">
        <v>0.18</v>
      </c>
    </row>
    <row r="927" spans="1:6">
      <c r="A927" s="1">
        <v>44593</v>
      </c>
      <c r="B927" s="1" t="str">
        <f t="shared" si="28"/>
        <v>Before 5G</v>
      </c>
      <c r="C927">
        <v>122001</v>
      </c>
      <c r="D927" t="str">
        <f t="shared" si="29"/>
        <v>Gurgaon</v>
      </c>
      <c r="E927" t="s">
        <v>32</v>
      </c>
      <c r="F927">
        <v>0.16</v>
      </c>
    </row>
    <row r="928" spans="1:6">
      <c r="A928" s="1">
        <v>44593</v>
      </c>
      <c r="B928" s="1" t="str">
        <f t="shared" si="28"/>
        <v>Before 5G</v>
      </c>
      <c r="C928">
        <v>122001</v>
      </c>
      <c r="D928" t="str">
        <f t="shared" si="29"/>
        <v>Gurgaon</v>
      </c>
      <c r="E928" t="s">
        <v>34</v>
      </c>
      <c r="F928">
        <v>0.08</v>
      </c>
    </row>
    <row r="929" spans="1:6">
      <c r="A929" s="1">
        <v>44593</v>
      </c>
      <c r="B929" s="1" t="str">
        <f t="shared" si="28"/>
        <v>Before 5G</v>
      </c>
      <c r="C929">
        <v>492001</v>
      </c>
      <c r="D929" t="str">
        <f t="shared" si="29"/>
        <v>Raipur</v>
      </c>
      <c r="E929" t="s">
        <v>30</v>
      </c>
      <c r="F929">
        <v>0.11</v>
      </c>
    </row>
    <row r="930" spans="1:6">
      <c r="A930" s="1">
        <v>44593</v>
      </c>
      <c r="B930" s="1" t="str">
        <f t="shared" si="28"/>
        <v>Before 5G</v>
      </c>
      <c r="C930">
        <v>492001</v>
      </c>
      <c r="D930" t="str">
        <f t="shared" si="29"/>
        <v>Raipur</v>
      </c>
      <c r="E930" t="s">
        <v>32</v>
      </c>
      <c r="F930">
        <v>0.06</v>
      </c>
    </row>
    <row r="931" spans="1:6">
      <c r="A931" s="1">
        <v>44593</v>
      </c>
      <c r="B931" s="1" t="str">
        <f t="shared" si="28"/>
        <v>Before 5G</v>
      </c>
      <c r="C931">
        <v>492001</v>
      </c>
      <c r="D931" t="str">
        <f t="shared" si="29"/>
        <v>Raipur</v>
      </c>
      <c r="E931" t="s">
        <v>34</v>
      </c>
      <c r="F931">
        <v>0.06</v>
      </c>
    </row>
    <row r="932" spans="1:6">
      <c r="A932" s="1">
        <v>44621</v>
      </c>
      <c r="B932" s="1" t="str">
        <f t="shared" si="28"/>
        <v>Before 5G</v>
      </c>
      <c r="C932">
        <v>400001</v>
      </c>
      <c r="D932" t="str">
        <f t="shared" si="29"/>
        <v>Mumbai</v>
      </c>
      <c r="E932" t="s">
        <v>30</v>
      </c>
      <c r="F932">
        <v>1.28</v>
      </c>
    </row>
    <row r="933" spans="1:6">
      <c r="A933" s="1">
        <v>44621</v>
      </c>
      <c r="B933" s="1" t="str">
        <f t="shared" si="28"/>
        <v>Before 5G</v>
      </c>
      <c r="C933">
        <v>400001</v>
      </c>
      <c r="D933" t="str">
        <f t="shared" si="29"/>
        <v>Mumbai</v>
      </c>
      <c r="E933" t="s">
        <v>32</v>
      </c>
      <c r="F933">
        <v>0.55000000000000004</v>
      </c>
    </row>
    <row r="934" spans="1:6">
      <c r="A934" s="1">
        <v>44621</v>
      </c>
      <c r="B934" s="1" t="str">
        <f t="shared" si="28"/>
        <v>Before 5G</v>
      </c>
      <c r="C934">
        <v>400001</v>
      </c>
      <c r="D934" t="str">
        <f t="shared" si="29"/>
        <v>Mumbai</v>
      </c>
      <c r="E934" t="s">
        <v>34</v>
      </c>
      <c r="F934">
        <v>0.37</v>
      </c>
    </row>
    <row r="935" spans="1:6">
      <c r="A935" s="1">
        <v>44621</v>
      </c>
      <c r="B935" s="1" t="str">
        <f t="shared" si="28"/>
        <v>Before 5G</v>
      </c>
      <c r="C935">
        <v>110001</v>
      </c>
      <c r="D935" t="str">
        <f t="shared" si="29"/>
        <v>Delhi</v>
      </c>
      <c r="E935" t="s">
        <v>30</v>
      </c>
      <c r="F935">
        <v>1.46</v>
      </c>
    </row>
    <row r="936" spans="1:6">
      <c r="A936" s="1">
        <v>44621</v>
      </c>
      <c r="B936" s="1" t="str">
        <f t="shared" si="28"/>
        <v>Before 5G</v>
      </c>
      <c r="C936">
        <v>110001</v>
      </c>
      <c r="D936" t="str">
        <f t="shared" si="29"/>
        <v>Delhi</v>
      </c>
      <c r="E936" t="s">
        <v>32</v>
      </c>
      <c r="F936">
        <v>0.81</v>
      </c>
    </row>
    <row r="937" spans="1:6">
      <c r="A937" s="1">
        <v>44621</v>
      </c>
      <c r="B937" s="1" t="str">
        <f t="shared" si="28"/>
        <v>Before 5G</v>
      </c>
      <c r="C937">
        <v>110001</v>
      </c>
      <c r="D937" t="str">
        <f t="shared" si="29"/>
        <v>Delhi</v>
      </c>
      <c r="E937" t="s">
        <v>34</v>
      </c>
      <c r="F937">
        <v>0.32</v>
      </c>
    </row>
    <row r="938" spans="1:6">
      <c r="A938" s="1">
        <v>44621</v>
      </c>
      <c r="B938" s="1" t="str">
        <f t="shared" si="28"/>
        <v>Before 5G</v>
      </c>
      <c r="C938">
        <v>700001</v>
      </c>
      <c r="D938" t="str">
        <f t="shared" si="29"/>
        <v>Kolkata</v>
      </c>
      <c r="E938" t="s">
        <v>30</v>
      </c>
      <c r="F938">
        <v>1.77</v>
      </c>
    </row>
    <row r="939" spans="1:6">
      <c r="A939" s="1">
        <v>44621</v>
      </c>
      <c r="B939" s="1" t="str">
        <f t="shared" si="28"/>
        <v>Before 5G</v>
      </c>
      <c r="C939">
        <v>700001</v>
      </c>
      <c r="D939" t="str">
        <f t="shared" si="29"/>
        <v>Kolkata</v>
      </c>
      <c r="E939" t="s">
        <v>32</v>
      </c>
      <c r="F939">
        <v>0.89</v>
      </c>
    </row>
    <row r="940" spans="1:6">
      <c r="A940" s="1">
        <v>44621</v>
      </c>
      <c r="B940" s="1" t="str">
        <f t="shared" si="28"/>
        <v>Before 5G</v>
      </c>
      <c r="C940">
        <v>700001</v>
      </c>
      <c r="D940" t="str">
        <f t="shared" si="29"/>
        <v>Kolkata</v>
      </c>
      <c r="E940" t="s">
        <v>34</v>
      </c>
      <c r="F940">
        <v>0.67</v>
      </c>
    </row>
    <row r="941" spans="1:6">
      <c r="A941" s="1">
        <v>44621</v>
      </c>
      <c r="B941" s="1" t="str">
        <f t="shared" si="28"/>
        <v>Before 5G</v>
      </c>
      <c r="C941">
        <v>560001</v>
      </c>
      <c r="D941" t="str">
        <f t="shared" si="29"/>
        <v>Bangalore</v>
      </c>
      <c r="E941" t="s">
        <v>30</v>
      </c>
      <c r="F941">
        <v>1.24</v>
      </c>
    </row>
    <row r="942" spans="1:6">
      <c r="A942" s="1">
        <v>44621</v>
      </c>
      <c r="B942" s="1" t="str">
        <f t="shared" si="28"/>
        <v>Before 5G</v>
      </c>
      <c r="C942">
        <v>560001</v>
      </c>
      <c r="D942" t="str">
        <f t="shared" si="29"/>
        <v>Bangalore</v>
      </c>
      <c r="E942" t="s">
        <v>32</v>
      </c>
      <c r="F942">
        <v>0.62</v>
      </c>
    </row>
    <row r="943" spans="1:6">
      <c r="A943" s="1">
        <v>44621</v>
      </c>
      <c r="B943" s="1" t="str">
        <f t="shared" si="28"/>
        <v>Before 5G</v>
      </c>
      <c r="C943">
        <v>560001</v>
      </c>
      <c r="D943" t="str">
        <f t="shared" si="29"/>
        <v>Bangalore</v>
      </c>
      <c r="E943" t="s">
        <v>34</v>
      </c>
      <c r="F943">
        <v>0.31</v>
      </c>
    </row>
    <row r="944" spans="1:6">
      <c r="A944" s="1">
        <v>44621</v>
      </c>
      <c r="B944" s="1" t="str">
        <f t="shared" si="28"/>
        <v>Before 5G</v>
      </c>
      <c r="C944">
        <v>600001</v>
      </c>
      <c r="D944" t="str">
        <f t="shared" si="29"/>
        <v>Chennai</v>
      </c>
      <c r="E944" t="s">
        <v>30</v>
      </c>
      <c r="F944">
        <v>0.74</v>
      </c>
    </row>
    <row r="945" spans="1:6">
      <c r="A945" s="1">
        <v>44621</v>
      </c>
      <c r="B945" s="1" t="str">
        <f t="shared" si="28"/>
        <v>Before 5G</v>
      </c>
      <c r="C945">
        <v>600001</v>
      </c>
      <c r="D945" t="str">
        <f t="shared" si="29"/>
        <v>Chennai</v>
      </c>
      <c r="E945" t="s">
        <v>32</v>
      </c>
      <c r="F945">
        <v>0.37</v>
      </c>
    </row>
    <row r="946" spans="1:6">
      <c r="A946" s="1">
        <v>44621</v>
      </c>
      <c r="B946" s="1" t="str">
        <f t="shared" si="28"/>
        <v>Before 5G</v>
      </c>
      <c r="C946">
        <v>600001</v>
      </c>
      <c r="D946" t="str">
        <f t="shared" si="29"/>
        <v>Chennai</v>
      </c>
      <c r="E946" t="s">
        <v>34</v>
      </c>
      <c r="F946">
        <v>0.37</v>
      </c>
    </row>
    <row r="947" spans="1:6">
      <c r="A947" s="1">
        <v>44621</v>
      </c>
      <c r="B947" s="1" t="str">
        <f t="shared" si="28"/>
        <v>Before 5G</v>
      </c>
      <c r="C947">
        <v>500001</v>
      </c>
      <c r="D947" t="str">
        <f t="shared" si="29"/>
        <v>Hyderabad</v>
      </c>
      <c r="E947" t="s">
        <v>30</v>
      </c>
      <c r="F947">
        <v>0.87</v>
      </c>
    </row>
    <row r="948" spans="1:6">
      <c r="A948" s="1">
        <v>44621</v>
      </c>
      <c r="B948" s="1" t="str">
        <f t="shared" si="28"/>
        <v>Before 5G</v>
      </c>
      <c r="C948">
        <v>500001</v>
      </c>
      <c r="D948" t="str">
        <f t="shared" si="29"/>
        <v>Hyderabad</v>
      </c>
      <c r="E948" t="s">
        <v>32</v>
      </c>
      <c r="F948">
        <v>0.48</v>
      </c>
    </row>
    <row r="949" spans="1:6">
      <c r="A949" s="1">
        <v>44621</v>
      </c>
      <c r="B949" s="1" t="str">
        <f t="shared" si="28"/>
        <v>Before 5G</v>
      </c>
      <c r="C949">
        <v>500001</v>
      </c>
      <c r="D949" t="str">
        <f t="shared" si="29"/>
        <v>Hyderabad</v>
      </c>
      <c r="E949" t="s">
        <v>34</v>
      </c>
      <c r="F949">
        <v>0.28999999999999998</v>
      </c>
    </row>
    <row r="950" spans="1:6">
      <c r="A950" s="1">
        <v>44621</v>
      </c>
      <c r="B950" s="1" t="str">
        <f t="shared" si="28"/>
        <v>Before 5G</v>
      </c>
      <c r="C950">
        <v>411001</v>
      </c>
      <c r="D950" t="str">
        <f t="shared" si="29"/>
        <v>Pune</v>
      </c>
      <c r="E950" t="s">
        <v>30</v>
      </c>
      <c r="F950">
        <v>0.88</v>
      </c>
    </row>
    <row r="951" spans="1:6">
      <c r="A951" s="1">
        <v>44621</v>
      </c>
      <c r="B951" s="1" t="str">
        <f t="shared" si="28"/>
        <v>Before 5G</v>
      </c>
      <c r="C951">
        <v>411001</v>
      </c>
      <c r="D951" t="str">
        <f t="shared" si="29"/>
        <v>Pune</v>
      </c>
      <c r="E951" t="s">
        <v>32</v>
      </c>
      <c r="F951">
        <v>0.44</v>
      </c>
    </row>
    <row r="952" spans="1:6">
      <c r="A952" s="1">
        <v>44621</v>
      </c>
      <c r="B952" s="1" t="str">
        <f t="shared" si="28"/>
        <v>Before 5G</v>
      </c>
      <c r="C952">
        <v>411001</v>
      </c>
      <c r="D952" t="str">
        <f t="shared" si="29"/>
        <v>Pune</v>
      </c>
      <c r="E952" t="s">
        <v>34</v>
      </c>
      <c r="F952">
        <v>0.11</v>
      </c>
    </row>
    <row r="953" spans="1:6">
      <c r="A953" s="1">
        <v>44621</v>
      </c>
      <c r="B953" s="1" t="str">
        <f t="shared" si="28"/>
        <v>Before 5G</v>
      </c>
      <c r="C953">
        <v>380001</v>
      </c>
      <c r="D953" t="str">
        <f t="shared" si="29"/>
        <v>Ahmedabad</v>
      </c>
      <c r="E953" t="s">
        <v>30</v>
      </c>
      <c r="F953">
        <v>0.77</v>
      </c>
    </row>
    <row r="954" spans="1:6">
      <c r="A954" s="1">
        <v>44621</v>
      </c>
      <c r="B954" s="1" t="str">
        <f t="shared" si="28"/>
        <v>Before 5G</v>
      </c>
      <c r="C954">
        <v>380001</v>
      </c>
      <c r="D954" t="str">
        <f t="shared" si="29"/>
        <v>Ahmedabad</v>
      </c>
      <c r="E954" t="s">
        <v>32</v>
      </c>
      <c r="F954">
        <v>0.39</v>
      </c>
    </row>
    <row r="955" spans="1:6">
      <c r="A955" s="1">
        <v>44621</v>
      </c>
      <c r="B955" s="1" t="str">
        <f t="shared" si="28"/>
        <v>Before 5G</v>
      </c>
      <c r="C955">
        <v>380001</v>
      </c>
      <c r="D955" t="str">
        <f t="shared" si="29"/>
        <v>Ahmedabad</v>
      </c>
      <c r="E955" t="s">
        <v>34</v>
      </c>
      <c r="F955">
        <v>0.39</v>
      </c>
    </row>
    <row r="956" spans="1:6">
      <c r="A956" s="1">
        <v>44621</v>
      </c>
      <c r="B956" s="1" t="str">
        <f t="shared" si="28"/>
        <v>Before 5G</v>
      </c>
      <c r="C956">
        <v>302001</v>
      </c>
      <c r="D956" t="str">
        <f t="shared" si="29"/>
        <v>Jaipur</v>
      </c>
      <c r="E956" t="s">
        <v>30</v>
      </c>
      <c r="F956">
        <v>0.37</v>
      </c>
    </row>
    <row r="957" spans="1:6">
      <c r="A957" s="1">
        <v>44621</v>
      </c>
      <c r="B957" s="1" t="str">
        <f t="shared" si="28"/>
        <v>Before 5G</v>
      </c>
      <c r="C957">
        <v>302001</v>
      </c>
      <c r="D957" t="str">
        <f t="shared" si="29"/>
        <v>Jaipur</v>
      </c>
      <c r="E957" t="s">
        <v>32</v>
      </c>
      <c r="F957">
        <v>0.26</v>
      </c>
    </row>
    <row r="958" spans="1:6">
      <c r="A958" s="1">
        <v>44621</v>
      </c>
      <c r="B958" s="1" t="str">
        <f t="shared" si="28"/>
        <v>Before 5G</v>
      </c>
      <c r="C958">
        <v>302001</v>
      </c>
      <c r="D958" t="str">
        <f t="shared" si="29"/>
        <v>Jaipur</v>
      </c>
      <c r="E958" t="s">
        <v>34</v>
      </c>
      <c r="F958">
        <v>0.05</v>
      </c>
    </row>
    <row r="959" spans="1:6">
      <c r="A959" s="1">
        <v>44621</v>
      </c>
      <c r="B959" s="1" t="str">
        <f t="shared" si="28"/>
        <v>Before 5G</v>
      </c>
      <c r="C959">
        <v>226001</v>
      </c>
      <c r="D959" t="str">
        <f t="shared" si="29"/>
        <v>Lucknow</v>
      </c>
      <c r="E959" t="s">
        <v>30</v>
      </c>
      <c r="F959">
        <v>0.43</v>
      </c>
    </row>
    <row r="960" spans="1:6">
      <c r="A960" s="1">
        <v>44621</v>
      </c>
      <c r="B960" s="1" t="str">
        <f t="shared" si="28"/>
        <v>Before 5G</v>
      </c>
      <c r="C960">
        <v>226001</v>
      </c>
      <c r="D960" t="str">
        <f t="shared" si="29"/>
        <v>Lucknow</v>
      </c>
      <c r="E960" t="s">
        <v>32</v>
      </c>
      <c r="F960">
        <v>0.24</v>
      </c>
    </row>
    <row r="961" spans="1:6">
      <c r="A961" s="1">
        <v>44621</v>
      </c>
      <c r="B961" s="1" t="str">
        <f t="shared" si="28"/>
        <v>Before 5G</v>
      </c>
      <c r="C961">
        <v>226001</v>
      </c>
      <c r="D961" t="str">
        <f t="shared" si="29"/>
        <v>Lucknow</v>
      </c>
      <c r="E961" t="s">
        <v>34</v>
      </c>
      <c r="F961">
        <v>0.09</v>
      </c>
    </row>
    <row r="962" spans="1:6">
      <c r="A962" s="1">
        <v>44621</v>
      </c>
      <c r="B962" s="1" t="str">
        <f t="shared" si="28"/>
        <v>Before 5G</v>
      </c>
      <c r="C962">
        <v>800008</v>
      </c>
      <c r="D962" t="str">
        <f t="shared" si="29"/>
        <v>Patna</v>
      </c>
      <c r="E962" t="s">
        <v>30</v>
      </c>
      <c r="F962">
        <v>0.28000000000000003</v>
      </c>
    </row>
    <row r="963" spans="1:6">
      <c r="A963" s="1">
        <v>44621</v>
      </c>
      <c r="B963" s="1" t="str">
        <f t="shared" ref="B963:B1026" si="30">VLOOKUP(A963,$H$2:$K$9,3,FALSE)</f>
        <v>Before 5G</v>
      </c>
      <c r="C963">
        <v>800008</v>
      </c>
      <c r="D963" t="str">
        <f t="shared" ref="D963:D1026" si="31">VLOOKUP(C963,$M$2:$N$16,2,FALSE)</f>
        <v>Patna</v>
      </c>
      <c r="E963" t="s">
        <v>32</v>
      </c>
      <c r="F963">
        <v>0.19</v>
      </c>
    </row>
    <row r="964" spans="1:6">
      <c r="A964" s="1">
        <v>44621</v>
      </c>
      <c r="B964" s="1" t="str">
        <f t="shared" si="30"/>
        <v>Before 5G</v>
      </c>
      <c r="C964">
        <v>800008</v>
      </c>
      <c r="D964" t="str">
        <f t="shared" si="31"/>
        <v>Patna</v>
      </c>
      <c r="E964" t="s">
        <v>34</v>
      </c>
      <c r="F964">
        <v>0.09</v>
      </c>
    </row>
    <row r="965" spans="1:6">
      <c r="A965" s="1">
        <v>44621</v>
      </c>
      <c r="B965" s="1" t="str">
        <f t="shared" si="30"/>
        <v>Before 5G</v>
      </c>
      <c r="C965">
        <v>641001</v>
      </c>
      <c r="D965" t="str">
        <f t="shared" si="31"/>
        <v>Coimbatore</v>
      </c>
      <c r="E965" t="s">
        <v>30</v>
      </c>
      <c r="F965">
        <v>0.48</v>
      </c>
    </row>
    <row r="966" spans="1:6">
      <c r="A966" s="1">
        <v>44621</v>
      </c>
      <c r="B966" s="1" t="str">
        <f t="shared" si="30"/>
        <v>Before 5G</v>
      </c>
      <c r="C966">
        <v>641001</v>
      </c>
      <c r="D966" t="str">
        <f t="shared" si="31"/>
        <v>Coimbatore</v>
      </c>
      <c r="E966" t="s">
        <v>32</v>
      </c>
      <c r="F966">
        <v>0.24</v>
      </c>
    </row>
    <row r="967" spans="1:6">
      <c r="A967" s="1">
        <v>44621</v>
      </c>
      <c r="B967" s="1" t="str">
        <f t="shared" si="30"/>
        <v>Before 5G</v>
      </c>
      <c r="C967">
        <v>641001</v>
      </c>
      <c r="D967" t="str">
        <f t="shared" si="31"/>
        <v>Coimbatore</v>
      </c>
      <c r="E967" t="s">
        <v>34</v>
      </c>
      <c r="F967">
        <v>0.12</v>
      </c>
    </row>
    <row r="968" spans="1:6">
      <c r="A968" s="1">
        <v>44621</v>
      </c>
      <c r="B968" s="1" t="str">
        <f t="shared" si="30"/>
        <v>Before 5G</v>
      </c>
      <c r="C968">
        <v>160017</v>
      </c>
      <c r="D968" t="str">
        <f t="shared" si="31"/>
        <v>Chandigarh</v>
      </c>
      <c r="E968" t="s">
        <v>30</v>
      </c>
      <c r="F968">
        <v>0.26</v>
      </c>
    </row>
    <row r="969" spans="1:6">
      <c r="A969" s="1">
        <v>44621</v>
      </c>
      <c r="B969" s="1" t="str">
        <f t="shared" si="30"/>
        <v>Before 5G</v>
      </c>
      <c r="C969">
        <v>160017</v>
      </c>
      <c r="D969" t="str">
        <f t="shared" si="31"/>
        <v>Chandigarh</v>
      </c>
      <c r="E969" t="s">
        <v>32</v>
      </c>
      <c r="F969">
        <v>0.09</v>
      </c>
    </row>
    <row r="970" spans="1:6">
      <c r="A970" s="1">
        <v>44621</v>
      </c>
      <c r="B970" s="1" t="str">
        <f t="shared" si="30"/>
        <v>Before 5G</v>
      </c>
      <c r="C970">
        <v>160017</v>
      </c>
      <c r="D970" t="str">
        <f t="shared" si="31"/>
        <v>Chandigarh</v>
      </c>
      <c r="E970" t="s">
        <v>34</v>
      </c>
      <c r="F970">
        <v>0.09</v>
      </c>
    </row>
    <row r="971" spans="1:6">
      <c r="A971" s="1">
        <v>44621</v>
      </c>
      <c r="B971" s="1" t="str">
        <f t="shared" si="30"/>
        <v>Before 5G</v>
      </c>
      <c r="C971">
        <v>122001</v>
      </c>
      <c r="D971" t="str">
        <f t="shared" si="31"/>
        <v>Gurgaon</v>
      </c>
      <c r="E971" t="s">
        <v>30</v>
      </c>
      <c r="F971">
        <v>0.12</v>
      </c>
    </row>
    <row r="972" spans="1:6">
      <c r="A972" s="1">
        <v>44621</v>
      </c>
      <c r="B972" s="1" t="str">
        <f t="shared" si="30"/>
        <v>Before 5G</v>
      </c>
      <c r="C972">
        <v>122001</v>
      </c>
      <c r="D972" t="str">
        <f t="shared" si="31"/>
        <v>Gurgaon</v>
      </c>
      <c r="E972" t="s">
        <v>32</v>
      </c>
      <c r="F972">
        <v>7.0000000000000007E-2</v>
      </c>
    </row>
    <row r="973" spans="1:6">
      <c r="A973" s="1">
        <v>44621</v>
      </c>
      <c r="B973" s="1" t="str">
        <f t="shared" si="30"/>
        <v>Before 5G</v>
      </c>
      <c r="C973">
        <v>122001</v>
      </c>
      <c r="D973" t="str">
        <f t="shared" si="31"/>
        <v>Gurgaon</v>
      </c>
      <c r="E973" t="s">
        <v>34</v>
      </c>
      <c r="F973">
        <v>0.05</v>
      </c>
    </row>
    <row r="974" spans="1:6">
      <c r="A974" s="1">
        <v>44621</v>
      </c>
      <c r="B974" s="1" t="str">
        <f t="shared" si="30"/>
        <v>Before 5G</v>
      </c>
      <c r="C974">
        <v>492001</v>
      </c>
      <c r="D974" t="str">
        <f t="shared" si="31"/>
        <v>Raipur</v>
      </c>
      <c r="E974" t="s">
        <v>30</v>
      </c>
      <c r="F974">
        <v>0.11</v>
      </c>
    </row>
    <row r="975" spans="1:6">
      <c r="A975" s="1">
        <v>44621</v>
      </c>
      <c r="B975" s="1" t="str">
        <f t="shared" si="30"/>
        <v>Before 5G</v>
      </c>
      <c r="C975">
        <v>492001</v>
      </c>
      <c r="D975" t="str">
        <f t="shared" si="31"/>
        <v>Raipur</v>
      </c>
      <c r="E975" t="s">
        <v>32</v>
      </c>
      <c r="F975">
        <v>0.06</v>
      </c>
    </row>
    <row r="976" spans="1:6">
      <c r="A976" s="1">
        <v>44621</v>
      </c>
      <c r="B976" s="1" t="str">
        <f t="shared" si="30"/>
        <v>Before 5G</v>
      </c>
      <c r="C976">
        <v>492001</v>
      </c>
      <c r="D976" t="str">
        <f t="shared" si="31"/>
        <v>Raipur</v>
      </c>
      <c r="E976" t="s">
        <v>34</v>
      </c>
      <c r="F976">
        <v>0.04</v>
      </c>
    </row>
    <row r="977" spans="1:6">
      <c r="A977" s="1">
        <v>44652</v>
      </c>
      <c r="B977" s="1" t="str">
        <f t="shared" si="30"/>
        <v>Before 5G</v>
      </c>
      <c r="C977">
        <v>400001</v>
      </c>
      <c r="D977" t="str">
        <f t="shared" si="31"/>
        <v>Mumbai</v>
      </c>
      <c r="E977" t="s">
        <v>30</v>
      </c>
      <c r="F977">
        <v>1.53</v>
      </c>
    </row>
    <row r="978" spans="1:6">
      <c r="A978" s="1">
        <v>44652</v>
      </c>
      <c r="B978" s="1" t="str">
        <f t="shared" si="30"/>
        <v>Before 5G</v>
      </c>
      <c r="C978">
        <v>400001</v>
      </c>
      <c r="D978" t="str">
        <f t="shared" si="31"/>
        <v>Mumbai</v>
      </c>
      <c r="E978" t="s">
        <v>32</v>
      </c>
      <c r="F978">
        <v>0.85</v>
      </c>
    </row>
    <row r="979" spans="1:6">
      <c r="A979" s="1">
        <v>44652</v>
      </c>
      <c r="B979" s="1" t="str">
        <f t="shared" si="30"/>
        <v>Before 5G</v>
      </c>
      <c r="C979">
        <v>400001</v>
      </c>
      <c r="D979" t="str">
        <f t="shared" si="31"/>
        <v>Mumbai</v>
      </c>
      <c r="E979" t="s">
        <v>34</v>
      </c>
      <c r="F979">
        <v>0.51</v>
      </c>
    </row>
    <row r="980" spans="1:6">
      <c r="A980" s="1">
        <v>44652</v>
      </c>
      <c r="B980" s="1" t="str">
        <f t="shared" si="30"/>
        <v>Before 5G</v>
      </c>
      <c r="C980">
        <v>110001</v>
      </c>
      <c r="D980" t="str">
        <f t="shared" si="31"/>
        <v>Delhi</v>
      </c>
      <c r="E980" t="s">
        <v>30</v>
      </c>
      <c r="F980">
        <v>1.23</v>
      </c>
    </row>
    <row r="981" spans="1:6">
      <c r="A981" s="1">
        <v>44652</v>
      </c>
      <c r="B981" s="1" t="str">
        <f t="shared" si="30"/>
        <v>Before 5G</v>
      </c>
      <c r="C981">
        <v>110001</v>
      </c>
      <c r="D981" t="str">
        <f t="shared" si="31"/>
        <v>Delhi</v>
      </c>
      <c r="E981" t="s">
        <v>32</v>
      </c>
      <c r="F981">
        <v>0.55000000000000004</v>
      </c>
    </row>
    <row r="982" spans="1:6">
      <c r="A982" s="1">
        <v>44652</v>
      </c>
      <c r="B982" s="1" t="str">
        <f t="shared" si="30"/>
        <v>Before 5G</v>
      </c>
      <c r="C982">
        <v>110001</v>
      </c>
      <c r="D982" t="str">
        <f t="shared" si="31"/>
        <v>Delhi</v>
      </c>
      <c r="E982" t="s">
        <v>34</v>
      </c>
      <c r="F982">
        <v>0.41</v>
      </c>
    </row>
    <row r="983" spans="1:6">
      <c r="A983" s="1">
        <v>44652</v>
      </c>
      <c r="B983" s="1" t="str">
        <f t="shared" si="30"/>
        <v>Before 5G</v>
      </c>
      <c r="C983">
        <v>700001</v>
      </c>
      <c r="D983" t="str">
        <f t="shared" si="31"/>
        <v>Kolkata</v>
      </c>
      <c r="E983" t="s">
        <v>30</v>
      </c>
      <c r="F983">
        <v>1.31</v>
      </c>
    </row>
    <row r="984" spans="1:6">
      <c r="A984" s="1">
        <v>44652</v>
      </c>
      <c r="B984" s="1" t="str">
        <f t="shared" si="30"/>
        <v>Before 5G</v>
      </c>
      <c r="C984">
        <v>700001</v>
      </c>
      <c r="D984" t="str">
        <f t="shared" si="31"/>
        <v>Kolkata</v>
      </c>
      <c r="E984" t="s">
        <v>32</v>
      </c>
      <c r="F984">
        <v>0.57999999999999996</v>
      </c>
    </row>
    <row r="985" spans="1:6">
      <c r="A985" s="1">
        <v>44652</v>
      </c>
      <c r="B985" s="1" t="str">
        <f t="shared" si="30"/>
        <v>Before 5G</v>
      </c>
      <c r="C985">
        <v>700001</v>
      </c>
      <c r="D985" t="str">
        <f t="shared" si="31"/>
        <v>Kolkata</v>
      </c>
      <c r="E985" t="s">
        <v>34</v>
      </c>
      <c r="F985">
        <v>0.44</v>
      </c>
    </row>
    <row r="986" spans="1:6">
      <c r="A986" s="1">
        <v>44652</v>
      </c>
      <c r="B986" s="1" t="str">
        <f t="shared" si="30"/>
        <v>Before 5G</v>
      </c>
      <c r="C986">
        <v>560001</v>
      </c>
      <c r="D986" t="str">
        <f t="shared" si="31"/>
        <v>Bangalore</v>
      </c>
      <c r="E986" t="s">
        <v>30</v>
      </c>
      <c r="F986">
        <v>1.51</v>
      </c>
    </row>
    <row r="987" spans="1:6">
      <c r="A987" s="1">
        <v>44652</v>
      </c>
      <c r="B987" s="1" t="str">
        <f t="shared" si="30"/>
        <v>Before 5G</v>
      </c>
      <c r="C987">
        <v>560001</v>
      </c>
      <c r="D987" t="str">
        <f t="shared" si="31"/>
        <v>Bangalore</v>
      </c>
      <c r="E987" t="s">
        <v>32</v>
      </c>
      <c r="F987">
        <v>0.45</v>
      </c>
    </row>
    <row r="988" spans="1:6">
      <c r="A988" s="1">
        <v>44652</v>
      </c>
      <c r="B988" s="1" t="str">
        <f t="shared" si="30"/>
        <v>Before 5G</v>
      </c>
      <c r="C988">
        <v>560001</v>
      </c>
      <c r="D988" t="str">
        <f t="shared" si="31"/>
        <v>Bangalore</v>
      </c>
      <c r="E988" t="s">
        <v>34</v>
      </c>
      <c r="F988">
        <v>0.6</v>
      </c>
    </row>
    <row r="989" spans="1:6">
      <c r="A989" s="1">
        <v>44652</v>
      </c>
      <c r="B989" s="1" t="str">
        <f t="shared" si="30"/>
        <v>Before 5G</v>
      </c>
      <c r="C989">
        <v>600001</v>
      </c>
      <c r="D989" t="str">
        <f t="shared" si="31"/>
        <v>Chennai</v>
      </c>
      <c r="E989" t="s">
        <v>30</v>
      </c>
      <c r="F989">
        <v>0.86</v>
      </c>
    </row>
    <row r="990" spans="1:6">
      <c r="A990" s="1">
        <v>44652</v>
      </c>
      <c r="B990" s="1" t="str">
        <f t="shared" si="30"/>
        <v>Before 5G</v>
      </c>
      <c r="C990">
        <v>600001</v>
      </c>
      <c r="D990" t="str">
        <f t="shared" si="31"/>
        <v>Chennai</v>
      </c>
      <c r="E990" t="s">
        <v>32</v>
      </c>
      <c r="F990">
        <v>0.49</v>
      </c>
    </row>
    <row r="991" spans="1:6">
      <c r="A991" s="1">
        <v>44652</v>
      </c>
      <c r="B991" s="1" t="str">
        <f t="shared" si="30"/>
        <v>Before 5G</v>
      </c>
      <c r="C991">
        <v>600001</v>
      </c>
      <c r="D991" t="str">
        <f t="shared" si="31"/>
        <v>Chennai</v>
      </c>
      <c r="E991" t="s">
        <v>34</v>
      </c>
      <c r="F991">
        <v>0.49</v>
      </c>
    </row>
    <row r="992" spans="1:6">
      <c r="A992" s="1">
        <v>44652</v>
      </c>
      <c r="B992" s="1" t="str">
        <f t="shared" si="30"/>
        <v>Before 5G</v>
      </c>
      <c r="C992">
        <v>500001</v>
      </c>
      <c r="D992" t="str">
        <f t="shared" si="31"/>
        <v>Hyderabad</v>
      </c>
      <c r="E992" t="s">
        <v>30</v>
      </c>
      <c r="F992">
        <v>0.71</v>
      </c>
    </row>
    <row r="993" spans="1:6">
      <c r="A993" s="1">
        <v>44652</v>
      </c>
      <c r="B993" s="1" t="str">
        <f t="shared" si="30"/>
        <v>Before 5G</v>
      </c>
      <c r="C993">
        <v>500001</v>
      </c>
      <c r="D993" t="str">
        <f t="shared" si="31"/>
        <v>Hyderabad</v>
      </c>
      <c r="E993" t="s">
        <v>32</v>
      </c>
      <c r="F993">
        <v>0.4</v>
      </c>
    </row>
    <row r="994" spans="1:6">
      <c r="A994" s="1">
        <v>44652</v>
      </c>
      <c r="B994" s="1" t="str">
        <f t="shared" si="30"/>
        <v>Before 5G</v>
      </c>
      <c r="C994">
        <v>500001</v>
      </c>
      <c r="D994" t="str">
        <f t="shared" si="31"/>
        <v>Hyderabad</v>
      </c>
      <c r="E994" t="s">
        <v>34</v>
      </c>
      <c r="F994">
        <v>0.24</v>
      </c>
    </row>
    <row r="995" spans="1:6">
      <c r="A995" s="1">
        <v>44652</v>
      </c>
      <c r="B995" s="1" t="str">
        <f t="shared" si="30"/>
        <v>Before 5G</v>
      </c>
      <c r="C995">
        <v>411001</v>
      </c>
      <c r="D995" t="str">
        <f t="shared" si="31"/>
        <v>Pune</v>
      </c>
      <c r="E995" t="s">
        <v>30</v>
      </c>
      <c r="F995">
        <v>1.3</v>
      </c>
    </row>
    <row r="996" spans="1:6">
      <c r="A996" s="1">
        <v>44652</v>
      </c>
      <c r="B996" s="1" t="str">
        <f t="shared" si="30"/>
        <v>Before 5G</v>
      </c>
      <c r="C996">
        <v>411001</v>
      </c>
      <c r="D996" t="str">
        <f t="shared" si="31"/>
        <v>Pune</v>
      </c>
      <c r="E996" t="s">
        <v>32</v>
      </c>
      <c r="F996">
        <v>0.81</v>
      </c>
    </row>
    <row r="997" spans="1:6">
      <c r="A997" s="1">
        <v>44652</v>
      </c>
      <c r="B997" s="1" t="str">
        <f t="shared" si="30"/>
        <v>Before 5G</v>
      </c>
      <c r="C997">
        <v>411001</v>
      </c>
      <c r="D997" t="str">
        <f t="shared" si="31"/>
        <v>Pune</v>
      </c>
      <c r="E997" t="s">
        <v>34</v>
      </c>
      <c r="F997">
        <v>0.16</v>
      </c>
    </row>
    <row r="998" spans="1:6">
      <c r="A998" s="1">
        <v>44652</v>
      </c>
      <c r="B998" s="1" t="str">
        <f t="shared" si="30"/>
        <v>Before 5G</v>
      </c>
      <c r="C998">
        <v>380001</v>
      </c>
      <c r="D998" t="str">
        <f t="shared" si="31"/>
        <v>Ahmedabad</v>
      </c>
      <c r="E998" t="s">
        <v>30</v>
      </c>
      <c r="F998">
        <v>0.62</v>
      </c>
    </row>
    <row r="999" spans="1:6">
      <c r="A999" s="1">
        <v>44652</v>
      </c>
      <c r="B999" s="1" t="str">
        <f t="shared" si="30"/>
        <v>Before 5G</v>
      </c>
      <c r="C999">
        <v>380001</v>
      </c>
      <c r="D999" t="str">
        <f t="shared" si="31"/>
        <v>Ahmedabad</v>
      </c>
      <c r="E999" t="s">
        <v>32</v>
      </c>
      <c r="F999">
        <v>0.53</v>
      </c>
    </row>
    <row r="1000" spans="1:6">
      <c r="A1000" s="1">
        <v>44652</v>
      </c>
      <c r="B1000" s="1" t="str">
        <f t="shared" si="30"/>
        <v>Before 5G</v>
      </c>
      <c r="C1000">
        <v>380001</v>
      </c>
      <c r="D1000" t="str">
        <f t="shared" si="31"/>
        <v>Ahmedabad</v>
      </c>
      <c r="E1000" t="s">
        <v>34</v>
      </c>
      <c r="F1000">
        <v>0.18</v>
      </c>
    </row>
    <row r="1001" spans="1:6">
      <c r="A1001" s="1">
        <v>44652</v>
      </c>
      <c r="B1001" s="1" t="str">
        <f t="shared" si="30"/>
        <v>Before 5G</v>
      </c>
      <c r="C1001">
        <v>302001</v>
      </c>
      <c r="D1001" t="str">
        <f t="shared" si="31"/>
        <v>Jaipur</v>
      </c>
      <c r="E1001" t="s">
        <v>30</v>
      </c>
      <c r="F1001">
        <v>0.42</v>
      </c>
    </row>
    <row r="1002" spans="1:6">
      <c r="A1002" s="1">
        <v>44652</v>
      </c>
      <c r="B1002" s="1" t="str">
        <f t="shared" si="30"/>
        <v>Before 5G</v>
      </c>
      <c r="C1002">
        <v>302001</v>
      </c>
      <c r="D1002" t="str">
        <f t="shared" si="31"/>
        <v>Jaipur</v>
      </c>
      <c r="E1002" t="s">
        <v>32</v>
      </c>
      <c r="F1002">
        <v>0.19</v>
      </c>
    </row>
    <row r="1003" spans="1:6">
      <c r="A1003" s="1">
        <v>44652</v>
      </c>
      <c r="B1003" s="1" t="str">
        <f t="shared" si="30"/>
        <v>Before 5G</v>
      </c>
      <c r="C1003">
        <v>302001</v>
      </c>
      <c r="D1003" t="str">
        <f t="shared" si="31"/>
        <v>Jaipur</v>
      </c>
      <c r="E1003" t="s">
        <v>34</v>
      </c>
      <c r="F1003">
        <v>0.14000000000000001</v>
      </c>
    </row>
    <row r="1004" spans="1:6">
      <c r="A1004" s="1">
        <v>44652</v>
      </c>
      <c r="B1004" s="1" t="str">
        <f t="shared" si="30"/>
        <v>Before 5G</v>
      </c>
      <c r="C1004">
        <v>226001</v>
      </c>
      <c r="D1004" t="str">
        <f t="shared" si="31"/>
        <v>Lucknow</v>
      </c>
      <c r="E1004" t="s">
        <v>30</v>
      </c>
      <c r="F1004">
        <v>0.36</v>
      </c>
    </row>
    <row r="1005" spans="1:6">
      <c r="A1005" s="1">
        <v>44652</v>
      </c>
      <c r="B1005" s="1" t="str">
        <f t="shared" si="30"/>
        <v>Before 5G</v>
      </c>
      <c r="C1005">
        <v>226001</v>
      </c>
      <c r="D1005" t="str">
        <f t="shared" si="31"/>
        <v>Lucknow</v>
      </c>
      <c r="E1005" t="s">
        <v>32</v>
      </c>
      <c r="F1005">
        <v>0.27</v>
      </c>
    </row>
    <row r="1006" spans="1:6">
      <c r="A1006" s="1">
        <v>44652</v>
      </c>
      <c r="B1006" s="1" t="str">
        <f t="shared" si="30"/>
        <v>Before 5G</v>
      </c>
      <c r="C1006">
        <v>226001</v>
      </c>
      <c r="D1006" t="str">
        <f t="shared" si="31"/>
        <v>Lucknow</v>
      </c>
      <c r="E1006" t="s">
        <v>34</v>
      </c>
      <c r="F1006">
        <v>0.09</v>
      </c>
    </row>
    <row r="1007" spans="1:6">
      <c r="A1007" s="1">
        <v>44652</v>
      </c>
      <c r="B1007" s="1" t="str">
        <f t="shared" si="30"/>
        <v>Before 5G</v>
      </c>
      <c r="C1007">
        <v>800008</v>
      </c>
      <c r="D1007" t="str">
        <f t="shared" si="31"/>
        <v>Patna</v>
      </c>
      <c r="E1007" t="s">
        <v>30</v>
      </c>
      <c r="F1007">
        <v>0.39</v>
      </c>
    </row>
    <row r="1008" spans="1:6">
      <c r="A1008" s="1">
        <v>44652</v>
      </c>
      <c r="B1008" s="1" t="str">
        <f t="shared" si="30"/>
        <v>Before 5G</v>
      </c>
      <c r="C1008">
        <v>800008</v>
      </c>
      <c r="D1008" t="str">
        <f t="shared" si="31"/>
        <v>Patna</v>
      </c>
      <c r="E1008" t="s">
        <v>32</v>
      </c>
      <c r="F1008">
        <v>0.19</v>
      </c>
    </row>
    <row r="1009" spans="1:6">
      <c r="A1009" s="1">
        <v>44652</v>
      </c>
      <c r="B1009" s="1" t="str">
        <f t="shared" si="30"/>
        <v>Before 5G</v>
      </c>
      <c r="C1009">
        <v>800008</v>
      </c>
      <c r="D1009" t="str">
        <f t="shared" si="31"/>
        <v>Patna</v>
      </c>
      <c r="E1009" t="s">
        <v>34</v>
      </c>
      <c r="F1009">
        <v>0.16</v>
      </c>
    </row>
    <row r="1010" spans="1:6">
      <c r="A1010" s="1">
        <v>44652</v>
      </c>
      <c r="B1010" s="1" t="str">
        <f t="shared" si="30"/>
        <v>Before 5G</v>
      </c>
      <c r="C1010">
        <v>641001</v>
      </c>
      <c r="D1010" t="str">
        <f t="shared" si="31"/>
        <v>Coimbatore</v>
      </c>
      <c r="E1010" t="s">
        <v>30</v>
      </c>
      <c r="F1010">
        <v>0.22</v>
      </c>
    </row>
    <row r="1011" spans="1:6">
      <c r="A1011" s="1">
        <v>44652</v>
      </c>
      <c r="B1011" s="1" t="str">
        <f t="shared" si="30"/>
        <v>Before 5G</v>
      </c>
      <c r="C1011">
        <v>641001</v>
      </c>
      <c r="D1011" t="str">
        <f t="shared" si="31"/>
        <v>Coimbatore</v>
      </c>
      <c r="E1011" t="s">
        <v>32</v>
      </c>
      <c r="F1011">
        <v>0.13</v>
      </c>
    </row>
    <row r="1012" spans="1:6">
      <c r="A1012" s="1">
        <v>44652</v>
      </c>
      <c r="B1012" s="1" t="str">
        <f t="shared" si="30"/>
        <v>Before 5G</v>
      </c>
      <c r="C1012">
        <v>641001</v>
      </c>
      <c r="D1012" t="str">
        <f t="shared" si="31"/>
        <v>Coimbatore</v>
      </c>
      <c r="E1012" t="s">
        <v>34</v>
      </c>
      <c r="F1012">
        <v>0.13</v>
      </c>
    </row>
    <row r="1013" spans="1:6">
      <c r="A1013" s="1">
        <v>44652</v>
      </c>
      <c r="B1013" s="1" t="str">
        <f t="shared" si="30"/>
        <v>Before 5G</v>
      </c>
      <c r="C1013">
        <v>160017</v>
      </c>
      <c r="D1013" t="str">
        <f t="shared" si="31"/>
        <v>Chandigarh</v>
      </c>
      <c r="E1013" t="s">
        <v>30</v>
      </c>
      <c r="F1013">
        <v>0.28999999999999998</v>
      </c>
    </row>
    <row r="1014" spans="1:6">
      <c r="A1014" s="1">
        <v>44652</v>
      </c>
      <c r="B1014" s="1" t="str">
        <f t="shared" si="30"/>
        <v>Before 5G</v>
      </c>
      <c r="C1014">
        <v>160017</v>
      </c>
      <c r="D1014" t="str">
        <f t="shared" si="31"/>
        <v>Chandigarh</v>
      </c>
      <c r="E1014" t="s">
        <v>32</v>
      </c>
      <c r="F1014">
        <v>0.18</v>
      </c>
    </row>
    <row r="1015" spans="1:6">
      <c r="A1015" s="1">
        <v>44652</v>
      </c>
      <c r="B1015" s="1" t="str">
        <f t="shared" si="30"/>
        <v>Before 5G</v>
      </c>
      <c r="C1015">
        <v>160017</v>
      </c>
      <c r="D1015" t="str">
        <f t="shared" si="31"/>
        <v>Chandigarh</v>
      </c>
      <c r="E1015" t="s">
        <v>34</v>
      </c>
      <c r="F1015">
        <v>0.11</v>
      </c>
    </row>
    <row r="1016" spans="1:6">
      <c r="A1016" s="1">
        <v>44652</v>
      </c>
      <c r="B1016" s="1" t="str">
        <f t="shared" si="30"/>
        <v>Before 5G</v>
      </c>
      <c r="C1016">
        <v>122001</v>
      </c>
      <c r="D1016" t="str">
        <f t="shared" si="31"/>
        <v>Gurgaon</v>
      </c>
      <c r="E1016" t="s">
        <v>30</v>
      </c>
      <c r="F1016">
        <v>0.14000000000000001</v>
      </c>
    </row>
    <row r="1017" spans="1:6">
      <c r="A1017" s="1">
        <v>44652</v>
      </c>
      <c r="B1017" s="1" t="str">
        <f t="shared" si="30"/>
        <v>Before 5G</v>
      </c>
      <c r="C1017">
        <v>122001</v>
      </c>
      <c r="D1017" t="str">
        <f t="shared" si="31"/>
        <v>Gurgaon</v>
      </c>
      <c r="E1017" t="s">
        <v>32</v>
      </c>
      <c r="F1017">
        <v>0.1</v>
      </c>
    </row>
    <row r="1018" spans="1:6">
      <c r="A1018" s="1">
        <v>44652</v>
      </c>
      <c r="B1018" s="1" t="str">
        <f t="shared" si="30"/>
        <v>Before 5G</v>
      </c>
      <c r="C1018">
        <v>122001</v>
      </c>
      <c r="D1018" t="str">
        <f t="shared" si="31"/>
        <v>Gurgaon</v>
      </c>
      <c r="E1018" t="s">
        <v>34</v>
      </c>
      <c r="F1018">
        <v>0.05</v>
      </c>
    </row>
    <row r="1019" spans="1:6">
      <c r="A1019" s="1">
        <v>44652</v>
      </c>
      <c r="B1019" s="1" t="str">
        <f t="shared" si="30"/>
        <v>Before 5G</v>
      </c>
      <c r="C1019">
        <v>492001</v>
      </c>
      <c r="D1019" t="str">
        <f t="shared" si="31"/>
        <v>Raipur</v>
      </c>
      <c r="E1019" t="s">
        <v>30</v>
      </c>
      <c r="F1019">
        <v>0.11</v>
      </c>
    </row>
    <row r="1020" spans="1:6">
      <c r="A1020" s="1">
        <v>44652</v>
      </c>
      <c r="B1020" s="1" t="str">
        <f t="shared" si="30"/>
        <v>Before 5G</v>
      </c>
      <c r="C1020">
        <v>492001</v>
      </c>
      <c r="D1020" t="str">
        <f t="shared" si="31"/>
        <v>Raipur</v>
      </c>
      <c r="E1020" t="s">
        <v>32</v>
      </c>
      <c r="F1020">
        <v>0.08</v>
      </c>
    </row>
    <row r="1021" spans="1:6">
      <c r="A1021" s="1">
        <v>44652</v>
      </c>
      <c r="B1021" s="1" t="str">
        <f t="shared" si="30"/>
        <v>Before 5G</v>
      </c>
      <c r="C1021">
        <v>492001</v>
      </c>
      <c r="D1021" t="str">
        <f t="shared" si="31"/>
        <v>Raipur</v>
      </c>
      <c r="E1021" t="s">
        <v>34</v>
      </c>
      <c r="F1021">
        <v>0.05</v>
      </c>
    </row>
    <row r="1022" spans="1:6">
      <c r="A1022" s="1">
        <v>44713</v>
      </c>
      <c r="B1022" s="1" t="str">
        <f t="shared" si="30"/>
        <v>After 5G</v>
      </c>
      <c r="C1022">
        <v>400001</v>
      </c>
      <c r="D1022" t="str">
        <f t="shared" si="31"/>
        <v>Mumbai</v>
      </c>
      <c r="E1022" t="s">
        <v>36</v>
      </c>
      <c r="F1022">
        <v>7.24</v>
      </c>
    </row>
    <row r="1023" spans="1:6">
      <c r="A1023" s="1">
        <v>44713</v>
      </c>
      <c r="B1023" s="1" t="str">
        <f t="shared" si="30"/>
        <v>After 5G</v>
      </c>
      <c r="C1023">
        <v>400001</v>
      </c>
      <c r="D1023" t="str">
        <f t="shared" si="31"/>
        <v>Mumbai</v>
      </c>
      <c r="E1023" t="s">
        <v>38</v>
      </c>
      <c r="F1023">
        <v>4.4000000000000004</v>
      </c>
    </row>
    <row r="1024" spans="1:6">
      <c r="A1024" s="1">
        <v>44713</v>
      </c>
      <c r="B1024" s="1" t="str">
        <f t="shared" si="30"/>
        <v>After 5G</v>
      </c>
      <c r="C1024">
        <v>400001</v>
      </c>
      <c r="D1024" t="str">
        <f t="shared" si="31"/>
        <v>Mumbai</v>
      </c>
      <c r="E1024" t="s">
        <v>40</v>
      </c>
      <c r="F1024">
        <v>1.29</v>
      </c>
    </row>
    <row r="1025" spans="1:6">
      <c r="A1025" s="1">
        <v>44713</v>
      </c>
      <c r="B1025" s="1" t="str">
        <f t="shared" si="30"/>
        <v>After 5G</v>
      </c>
      <c r="C1025">
        <v>110001</v>
      </c>
      <c r="D1025" t="str">
        <f t="shared" si="31"/>
        <v>Delhi</v>
      </c>
      <c r="E1025" t="s">
        <v>36</v>
      </c>
      <c r="F1025">
        <v>4.42</v>
      </c>
    </row>
    <row r="1026" spans="1:6">
      <c r="A1026" s="1">
        <v>44713</v>
      </c>
      <c r="B1026" s="1" t="str">
        <f t="shared" si="30"/>
        <v>After 5G</v>
      </c>
      <c r="C1026">
        <v>110001</v>
      </c>
      <c r="D1026" t="str">
        <f t="shared" si="31"/>
        <v>Delhi</v>
      </c>
      <c r="E1026" t="s">
        <v>38</v>
      </c>
      <c r="F1026">
        <v>2.94</v>
      </c>
    </row>
    <row r="1027" spans="1:6">
      <c r="A1027" s="1">
        <v>44713</v>
      </c>
      <c r="B1027" s="1" t="str">
        <f t="shared" ref="B1027:B1090" si="32">VLOOKUP(A1027,$H$2:$K$9,3,FALSE)</f>
        <v>After 5G</v>
      </c>
      <c r="C1027">
        <v>110001</v>
      </c>
      <c r="D1027" t="str">
        <f t="shared" ref="D1027:D1090" si="33">VLOOKUP(C1027,$M$2:$N$16,2,FALSE)</f>
        <v>Delhi</v>
      </c>
      <c r="E1027" t="s">
        <v>40</v>
      </c>
      <c r="F1027">
        <v>1.18</v>
      </c>
    </row>
    <row r="1028" spans="1:6">
      <c r="A1028" s="1">
        <v>44713</v>
      </c>
      <c r="B1028" s="1" t="str">
        <f t="shared" si="32"/>
        <v>After 5G</v>
      </c>
      <c r="C1028">
        <v>700001</v>
      </c>
      <c r="D1028" t="str">
        <f t="shared" si="33"/>
        <v>Kolkata</v>
      </c>
      <c r="E1028" t="s">
        <v>36</v>
      </c>
      <c r="F1028">
        <v>4.03</v>
      </c>
    </row>
    <row r="1029" spans="1:6">
      <c r="A1029" s="1">
        <v>44713</v>
      </c>
      <c r="B1029" s="1" t="str">
        <f t="shared" si="32"/>
        <v>After 5G</v>
      </c>
      <c r="C1029">
        <v>700001</v>
      </c>
      <c r="D1029" t="str">
        <f t="shared" si="33"/>
        <v>Kolkata</v>
      </c>
      <c r="E1029" t="s">
        <v>38</v>
      </c>
      <c r="F1029">
        <v>2.5499999999999998</v>
      </c>
    </row>
    <row r="1030" spans="1:6">
      <c r="A1030" s="1">
        <v>44713</v>
      </c>
      <c r="B1030" s="1" t="str">
        <f t="shared" si="32"/>
        <v>After 5G</v>
      </c>
      <c r="C1030">
        <v>700001</v>
      </c>
      <c r="D1030" t="str">
        <f t="shared" si="33"/>
        <v>Kolkata</v>
      </c>
      <c r="E1030" t="s">
        <v>40</v>
      </c>
      <c r="F1030">
        <v>0.67</v>
      </c>
    </row>
    <row r="1031" spans="1:6">
      <c r="A1031" s="1">
        <v>44713</v>
      </c>
      <c r="B1031" s="1" t="str">
        <f t="shared" si="32"/>
        <v>After 5G</v>
      </c>
      <c r="C1031">
        <v>560001</v>
      </c>
      <c r="D1031" t="str">
        <f t="shared" si="33"/>
        <v>Bangalore</v>
      </c>
      <c r="E1031" t="s">
        <v>36</v>
      </c>
      <c r="F1031">
        <v>4.34</v>
      </c>
    </row>
    <row r="1032" spans="1:6">
      <c r="A1032" s="1">
        <v>44713</v>
      </c>
      <c r="B1032" s="1" t="str">
        <f t="shared" si="32"/>
        <v>After 5G</v>
      </c>
      <c r="C1032">
        <v>560001</v>
      </c>
      <c r="D1032" t="str">
        <f t="shared" si="33"/>
        <v>Bangalore</v>
      </c>
      <c r="E1032" t="s">
        <v>38</v>
      </c>
      <c r="F1032">
        <v>2.73</v>
      </c>
    </row>
    <row r="1033" spans="1:6">
      <c r="A1033" s="1">
        <v>44713</v>
      </c>
      <c r="B1033" s="1" t="str">
        <f t="shared" si="32"/>
        <v>After 5G</v>
      </c>
      <c r="C1033">
        <v>560001</v>
      </c>
      <c r="D1033" t="str">
        <f t="shared" si="33"/>
        <v>Bangalore</v>
      </c>
      <c r="E1033" t="s">
        <v>40</v>
      </c>
      <c r="F1033">
        <v>0.48</v>
      </c>
    </row>
    <row r="1034" spans="1:6">
      <c r="A1034" s="1">
        <v>44713</v>
      </c>
      <c r="B1034" s="1" t="str">
        <f t="shared" si="32"/>
        <v>After 5G</v>
      </c>
      <c r="C1034">
        <v>600001</v>
      </c>
      <c r="D1034" t="str">
        <f t="shared" si="33"/>
        <v>Chennai</v>
      </c>
      <c r="E1034" t="s">
        <v>36</v>
      </c>
      <c r="F1034">
        <v>4.3600000000000003</v>
      </c>
    </row>
    <row r="1035" spans="1:6">
      <c r="A1035" s="1">
        <v>44713</v>
      </c>
      <c r="B1035" s="1" t="str">
        <f t="shared" si="32"/>
        <v>After 5G</v>
      </c>
      <c r="C1035">
        <v>600001</v>
      </c>
      <c r="D1035" t="str">
        <f t="shared" si="33"/>
        <v>Chennai</v>
      </c>
      <c r="E1035" t="s">
        <v>38</v>
      </c>
      <c r="F1035">
        <v>2.25</v>
      </c>
    </row>
    <row r="1036" spans="1:6">
      <c r="A1036" s="1">
        <v>44713</v>
      </c>
      <c r="B1036" s="1" t="str">
        <f t="shared" si="32"/>
        <v>After 5G</v>
      </c>
      <c r="C1036">
        <v>600001</v>
      </c>
      <c r="D1036" t="str">
        <f t="shared" si="33"/>
        <v>Chennai</v>
      </c>
      <c r="E1036" t="s">
        <v>40</v>
      </c>
      <c r="F1036">
        <v>0.93</v>
      </c>
    </row>
    <row r="1037" spans="1:6">
      <c r="A1037" s="1">
        <v>44713</v>
      </c>
      <c r="B1037" s="1" t="str">
        <f t="shared" si="32"/>
        <v>After 5G</v>
      </c>
      <c r="C1037">
        <v>500001</v>
      </c>
      <c r="D1037" t="str">
        <f t="shared" si="33"/>
        <v>Hyderabad</v>
      </c>
      <c r="E1037" t="s">
        <v>36</v>
      </c>
      <c r="F1037">
        <v>3.19</v>
      </c>
    </row>
    <row r="1038" spans="1:6">
      <c r="A1038" s="1">
        <v>44713</v>
      </c>
      <c r="B1038" s="1" t="str">
        <f t="shared" si="32"/>
        <v>After 5G</v>
      </c>
      <c r="C1038">
        <v>500001</v>
      </c>
      <c r="D1038" t="str">
        <f t="shared" si="33"/>
        <v>Hyderabad</v>
      </c>
      <c r="E1038" t="s">
        <v>38</v>
      </c>
      <c r="F1038">
        <v>2.09</v>
      </c>
    </row>
    <row r="1039" spans="1:6">
      <c r="A1039" s="1">
        <v>44713</v>
      </c>
      <c r="B1039" s="1" t="str">
        <f t="shared" si="32"/>
        <v>After 5G</v>
      </c>
      <c r="C1039">
        <v>500001</v>
      </c>
      <c r="D1039" t="str">
        <f t="shared" si="33"/>
        <v>Hyderabad</v>
      </c>
      <c r="E1039" t="s">
        <v>40</v>
      </c>
      <c r="F1039">
        <v>0.55000000000000004</v>
      </c>
    </row>
    <row r="1040" spans="1:6">
      <c r="A1040" s="1">
        <v>44713</v>
      </c>
      <c r="B1040" s="1" t="str">
        <f t="shared" si="32"/>
        <v>After 5G</v>
      </c>
      <c r="C1040">
        <v>411001</v>
      </c>
      <c r="D1040" t="str">
        <f t="shared" si="33"/>
        <v>Pune</v>
      </c>
      <c r="E1040" t="s">
        <v>36</v>
      </c>
      <c r="F1040">
        <v>2.79</v>
      </c>
    </row>
    <row r="1041" spans="1:6">
      <c r="A1041" s="1">
        <v>44713</v>
      </c>
      <c r="B1041" s="1" t="str">
        <f t="shared" si="32"/>
        <v>After 5G</v>
      </c>
      <c r="C1041">
        <v>411001</v>
      </c>
      <c r="D1041" t="str">
        <f t="shared" si="33"/>
        <v>Pune</v>
      </c>
      <c r="E1041" t="s">
        <v>38</v>
      </c>
      <c r="F1041">
        <v>1.71</v>
      </c>
    </row>
    <row r="1042" spans="1:6">
      <c r="A1042" s="1">
        <v>44713</v>
      </c>
      <c r="B1042" s="1" t="str">
        <f t="shared" si="32"/>
        <v>After 5G</v>
      </c>
      <c r="C1042">
        <v>411001</v>
      </c>
      <c r="D1042" t="str">
        <f t="shared" si="33"/>
        <v>Pune</v>
      </c>
      <c r="E1042" t="s">
        <v>40</v>
      </c>
      <c r="F1042">
        <v>0.36</v>
      </c>
    </row>
    <row r="1043" spans="1:6">
      <c r="A1043" s="1">
        <v>44713</v>
      </c>
      <c r="B1043" s="1" t="str">
        <f t="shared" si="32"/>
        <v>After 5G</v>
      </c>
      <c r="C1043">
        <v>380001</v>
      </c>
      <c r="D1043" t="str">
        <f t="shared" si="33"/>
        <v>Ahmedabad</v>
      </c>
      <c r="E1043" t="s">
        <v>36</v>
      </c>
      <c r="F1043">
        <v>2.67</v>
      </c>
    </row>
    <row r="1044" spans="1:6">
      <c r="A1044" s="1">
        <v>44713</v>
      </c>
      <c r="B1044" s="1" t="str">
        <f t="shared" si="32"/>
        <v>After 5G</v>
      </c>
      <c r="C1044">
        <v>380001</v>
      </c>
      <c r="D1044" t="str">
        <f t="shared" si="33"/>
        <v>Ahmedabad</v>
      </c>
      <c r="E1044" t="s">
        <v>38</v>
      </c>
      <c r="F1044">
        <v>1.45</v>
      </c>
    </row>
    <row r="1045" spans="1:6">
      <c r="A1045" s="1">
        <v>44713</v>
      </c>
      <c r="B1045" s="1" t="str">
        <f t="shared" si="32"/>
        <v>After 5G</v>
      </c>
      <c r="C1045">
        <v>380001</v>
      </c>
      <c r="D1045" t="str">
        <f t="shared" si="33"/>
        <v>Ahmedabad</v>
      </c>
      <c r="E1045" t="s">
        <v>40</v>
      </c>
      <c r="F1045">
        <v>0.56999999999999995</v>
      </c>
    </row>
    <row r="1046" spans="1:6">
      <c r="A1046" s="1">
        <v>44713</v>
      </c>
      <c r="B1046" s="1" t="str">
        <f t="shared" si="32"/>
        <v>After 5G</v>
      </c>
      <c r="C1046">
        <v>302001</v>
      </c>
      <c r="D1046" t="str">
        <f t="shared" si="33"/>
        <v>Jaipur</v>
      </c>
      <c r="E1046" t="s">
        <v>36</v>
      </c>
      <c r="F1046">
        <v>2.5299999999999998</v>
      </c>
    </row>
    <row r="1047" spans="1:6">
      <c r="A1047" s="1">
        <v>44713</v>
      </c>
      <c r="B1047" s="1" t="str">
        <f t="shared" si="32"/>
        <v>After 5G</v>
      </c>
      <c r="C1047">
        <v>302001</v>
      </c>
      <c r="D1047" t="str">
        <f t="shared" si="33"/>
        <v>Jaipur</v>
      </c>
      <c r="E1047" t="s">
        <v>38</v>
      </c>
      <c r="F1047">
        <v>1.55</v>
      </c>
    </row>
    <row r="1048" spans="1:6">
      <c r="A1048" s="1">
        <v>44713</v>
      </c>
      <c r="B1048" s="1" t="str">
        <f t="shared" si="32"/>
        <v>After 5G</v>
      </c>
      <c r="C1048">
        <v>302001</v>
      </c>
      <c r="D1048" t="str">
        <f t="shared" si="33"/>
        <v>Jaipur</v>
      </c>
      <c r="E1048" t="s">
        <v>40</v>
      </c>
      <c r="F1048">
        <v>0.33</v>
      </c>
    </row>
    <row r="1049" spans="1:6">
      <c r="A1049" s="1">
        <v>44713</v>
      </c>
      <c r="B1049" s="1" t="str">
        <f t="shared" si="32"/>
        <v>After 5G</v>
      </c>
      <c r="C1049">
        <v>226001</v>
      </c>
      <c r="D1049" t="str">
        <f t="shared" si="33"/>
        <v>Lucknow</v>
      </c>
      <c r="E1049" t="s">
        <v>36</v>
      </c>
      <c r="F1049">
        <v>1.24</v>
      </c>
    </row>
    <row r="1050" spans="1:6">
      <c r="A1050" s="1">
        <v>44713</v>
      </c>
      <c r="B1050" s="1" t="str">
        <f t="shared" si="32"/>
        <v>After 5G</v>
      </c>
      <c r="C1050">
        <v>226001</v>
      </c>
      <c r="D1050" t="str">
        <f t="shared" si="33"/>
        <v>Lucknow</v>
      </c>
      <c r="E1050" t="s">
        <v>38</v>
      </c>
      <c r="F1050">
        <v>0.79</v>
      </c>
    </row>
    <row r="1051" spans="1:6">
      <c r="A1051" s="1">
        <v>44713</v>
      </c>
      <c r="B1051" s="1" t="str">
        <f t="shared" si="32"/>
        <v>After 5G</v>
      </c>
      <c r="C1051">
        <v>226001</v>
      </c>
      <c r="D1051" t="str">
        <f t="shared" si="33"/>
        <v>Lucknow</v>
      </c>
      <c r="E1051" t="s">
        <v>40</v>
      </c>
      <c r="F1051">
        <v>0.12</v>
      </c>
    </row>
    <row r="1052" spans="1:6">
      <c r="A1052" s="1">
        <v>44713</v>
      </c>
      <c r="B1052" s="1" t="str">
        <f t="shared" si="32"/>
        <v>After 5G</v>
      </c>
      <c r="C1052">
        <v>800008</v>
      </c>
      <c r="D1052" t="str">
        <f t="shared" si="33"/>
        <v>Patna</v>
      </c>
      <c r="E1052" t="s">
        <v>36</v>
      </c>
      <c r="F1052">
        <v>1.76</v>
      </c>
    </row>
    <row r="1053" spans="1:6">
      <c r="A1053" s="1">
        <v>44713</v>
      </c>
      <c r="B1053" s="1" t="str">
        <f t="shared" si="32"/>
        <v>After 5G</v>
      </c>
      <c r="C1053">
        <v>800008</v>
      </c>
      <c r="D1053" t="str">
        <f t="shared" si="33"/>
        <v>Patna</v>
      </c>
      <c r="E1053" t="s">
        <v>38</v>
      </c>
      <c r="F1053">
        <v>1.18</v>
      </c>
    </row>
    <row r="1054" spans="1:6">
      <c r="A1054" s="1">
        <v>44713</v>
      </c>
      <c r="B1054" s="1" t="str">
        <f t="shared" si="32"/>
        <v>After 5G</v>
      </c>
      <c r="C1054">
        <v>800008</v>
      </c>
      <c r="D1054" t="str">
        <f t="shared" si="33"/>
        <v>Patna</v>
      </c>
      <c r="E1054" t="s">
        <v>40</v>
      </c>
      <c r="F1054">
        <v>0.26</v>
      </c>
    </row>
    <row r="1055" spans="1:6">
      <c r="A1055" s="1">
        <v>44713</v>
      </c>
      <c r="B1055" s="1" t="str">
        <f t="shared" si="32"/>
        <v>After 5G</v>
      </c>
      <c r="C1055">
        <v>641001</v>
      </c>
      <c r="D1055" t="str">
        <f t="shared" si="33"/>
        <v>Coimbatore</v>
      </c>
      <c r="E1055" t="s">
        <v>36</v>
      </c>
      <c r="F1055">
        <v>0.89</v>
      </c>
    </row>
    <row r="1056" spans="1:6">
      <c r="A1056" s="1">
        <v>44713</v>
      </c>
      <c r="B1056" s="1" t="str">
        <f t="shared" si="32"/>
        <v>After 5G</v>
      </c>
      <c r="C1056">
        <v>641001</v>
      </c>
      <c r="D1056" t="str">
        <f t="shared" si="33"/>
        <v>Coimbatore</v>
      </c>
      <c r="E1056" t="s">
        <v>38</v>
      </c>
      <c r="F1056">
        <v>0.57999999999999996</v>
      </c>
    </row>
    <row r="1057" spans="1:6">
      <c r="A1057" s="1">
        <v>44713</v>
      </c>
      <c r="B1057" s="1" t="str">
        <f t="shared" si="32"/>
        <v>After 5G</v>
      </c>
      <c r="C1057">
        <v>641001</v>
      </c>
      <c r="D1057" t="str">
        <f t="shared" si="33"/>
        <v>Coimbatore</v>
      </c>
      <c r="E1057" t="s">
        <v>40</v>
      </c>
      <c r="F1057">
        <v>0.14000000000000001</v>
      </c>
    </row>
    <row r="1058" spans="1:6">
      <c r="A1058" s="1">
        <v>44713</v>
      </c>
      <c r="B1058" s="1" t="str">
        <f t="shared" si="32"/>
        <v>After 5G</v>
      </c>
      <c r="C1058">
        <v>160017</v>
      </c>
      <c r="D1058" t="str">
        <f t="shared" si="33"/>
        <v>Chandigarh</v>
      </c>
      <c r="E1058" t="s">
        <v>36</v>
      </c>
      <c r="F1058">
        <v>0.79</v>
      </c>
    </row>
    <row r="1059" spans="1:6">
      <c r="A1059" s="1">
        <v>44713</v>
      </c>
      <c r="B1059" s="1" t="str">
        <f t="shared" si="32"/>
        <v>After 5G</v>
      </c>
      <c r="C1059">
        <v>160017</v>
      </c>
      <c r="D1059" t="str">
        <f t="shared" si="33"/>
        <v>Chandigarh</v>
      </c>
      <c r="E1059" t="s">
        <v>38</v>
      </c>
      <c r="F1059">
        <v>0.5</v>
      </c>
    </row>
    <row r="1060" spans="1:6">
      <c r="A1060" s="1">
        <v>44713</v>
      </c>
      <c r="B1060" s="1" t="str">
        <f t="shared" si="32"/>
        <v>After 5G</v>
      </c>
      <c r="C1060">
        <v>160017</v>
      </c>
      <c r="D1060" t="str">
        <f t="shared" si="33"/>
        <v>Chandigarh</v>
      </c>
      <c r="E1060" t="s">
        <v>40</v>
      </c>
      <c r="F1060">
        <v>0.1</v>
      </c>
    </row>
    <row r="1061" spans="1:6">
      <c r="A1061" s="1">
        <v>44713</v>
      </c>
      <c r="B1061" s="1" t="str">
        <f t="shared" si="32"/>
        <v>After 5G</v>
      </c>
      <c r="C1061">
        <v>122001</v>
      </c>
      <c r="D1061" t="str">
        <f t="shared" si="33"/>
        <v>Gurgaon</v>
      </c>
      <c r="E1061" t="s">
        <v>36</v>
      </c>
      <c r="F1061">
        <v>0.61</v>
      </c>
    </row>
    <row r="1062" spans="1:6">
      <c r="A1062" s="1">
        <v>44713</v>
      </c>
      <c r="B1062" s="1" t="str">
        <f t="shared" si="32"/>
        <v>After 5G</v>
      </c>
      <c r="C1062">
        <v>122001</v>
      </c>
      <c r="D1062" t="str">
        <f t="shared" si="33"/>
        <v>Gurgaon</v>
      </c>
      <c r="E1062" t="s">
        <v>38</v>
      </c>
      <c r="F1062">
        <v>0.4</v>
      </c>
    </row>
    <row r="1063" spans="1:6">
      <c r="A1063" s="1">
        <v>44713</v>
      </c>
      <c r="B1063" s="1" t="str">
        <f t="shared" si="32"/>
        <v>After 5G</v>
      </c>
      <c r="C1063">
        <v>122001</v>
      </c>
      <c r="D1063" t="str">
        <f t="shared" si="33"/>
        <v>Gurgaon</v>
      </c>
      <c r="E1063" t="s">
        <v>40</v>
      </c>
      <c r="F1063">
        <v>0.12</v>
      </c>
    </row>
    <row r="1064" spans="1:6">
      <c r="A1064" s="1">
        <v>44713</v>
      </c>
      <c r="B1064" s="1" t="str">
        <f t="shared" si="32"/>
        <v>After 5G</v>
      </c>
      <c r="C1064">
        <v>492001</v>
      </c>
      <c r="D1064" t="str">
        <f t="shared" si="33"/>
        <v>Raipur</v>
      </c>
      <c r="E1064" t="s">
        <v>36</v>
      </c>
      <c r="F1064">
        <v>0.56999999999999995</v>
      </c>
    </row>
    <row r="1065" spans="1:6">
      <c r="A1065" s="1">
        <v>44713</v>
      </c>
      <c r="B1065" s="1" t="str">
        <f t="shared" si="32"/>
        <v>After 5G</v>
      </c>
      <c r="C1065">
        <v>492001</v>
      </c>
      <c r="D1065" t="str">
        <f t="shared" si="33"/>
        <v>Raipur</v>
      </c>
      <c r="E1065" t="s">
        <v>38</v>
      </c>
      <c r="F1065">
        <v>0.39</v>
      </c>
    </row>
    <row r="1066" spans="1:6">
      <c r="A1066" s="1">
        <v>44713</v>
      </c>
      <c r="B1066" s="1" t="str">
        <f t="shared" si="32"/>
        <v>After 5G</v>
      </c>
      <c r="C1066">
        <v>492001</v>
      </c>
      <c r="D1066" t="str">
        <f t="shared" si="33"/>
        <v>Raipur</v>
      </c>
      <c r="E1066" t="s">
        <v>40</v>
      </c>
      <c r="F1066">
        <v>0.11</v>
      </c>
    </row>
    <row r="1067" spans="1:6">
      <c r="A1067" s="1">
        <v>44743</v>
      </c>
      <c r="B1067" s="1" t="str">
        <f t="shared" si="32"/>
        <v>After 5G</v>
      </c>
      <c r="C1067">
        <v>400001</v>
      </c>
      <c r="D1067" t="str">
        <f t="shared" si="33"/>
        <v>Mumbai</v>
      </c>
      <c r="E1067" t="s">
        <v>36</v>
      </c>
      <c r="F1067">
        <v>6.03</v>
      </c>
    </row>
    <row r="1068" spans="1:6">
      <c r="A1068" s="1">
        <v>44743</v>
      </c>
      <c r="B1068" s="1" t="str">
        <f t="shared" si="32"/>
        <v>After 5G</v>
      </c>
      <c r="C1068">
        <v>400001</v>
      </c>
      <c r="D1068" t="str">
        <f t="shared" si="33"/>
        <v>Mumbai</v>
      </c>
      <c r="E1068" t="s">
        <v>38</v>
      </c>
      <c r="F1068">
        <v>4.47</v>
      </c>
    </row>
    <row r="1069" spans="1:6">
      <c r="A1069" s="1">
        <v>44743</v>
      </c>
      <c r="B1069" s="1" t="str">
        <f t="shared" si="32"/>
        <v>After 5G</v>
      </c>
      <c r="C1069">
        <v>400001</v>
      </c>
      <c r="D1069" t="str">
        <f t="shared" si="33"/>
        <v>Mumbai</v>
      </c>
      <c r="E1069" t="s">
        <v>40</v>
      </c>
      <c r="F1069">
        <v>0.89</v>
      </c>
    </row>
    <row r="1070" spans="1:6">
      <c r="A1070" s="1">
        <v>44743</v>
      </c>
      <c r="B1070" s="1" t="str">
        <f t="shared" si="32"/>
        <v>After 5G</v>
      </c>
      <c r="C1070">
        <v>110001</v>
      </c>
      <c r="D1070" t="str">
        <f t="shared" si="33"/>
        <v>Delhi</v>
      </c>
      <c r="E1070" t="s">
        <v>36</v>
      </c>
      <c r="F1070">
        <v>6.87</v>
      </c>
    </row>
    <row r="1071" spans="1:6">
      <c r="A1071" s="1">
        <v>44743</v>
      </c>
      <c r="B1071" s="1" t="str">
        <f t="shared" si="32"/>
        <v>After 5G</v>
      </c>
      <c r="C1071">
        <v>110001</v>
      </c>
      <c r="D1071" t="str">
        <f t="shared" si="33"/>
        <v>Delhi</v>
      </c>
      <c r="E1071" t="s">
        <v>38</v>
      </c>
      <c r="F1071">
        <v>3.95</v>
      </c>
    </row>
    <row r="1072" spans="1:6">
      <c r="A1072" s="1">
        <v>44743</v>
      </c>
      <c r="B1072" s="1" t="str">
        <f t="shared" si="32"/>
        <v>After 5G</v>
      </c>
      <c r="C1072">
        <v>110001</v>
      </c>
      <c r="D1072" t="str">
        <f t="shared" si="33"/>
        <v>Delhi</v>
      </c>
      <c r="E1072" t="s">
        <v>40</v>
      </c>
      <c r="F1072">
        <v>1.46</v>
      </c>
    </row>
    <row r="1073" spans="1:6">
      <c r="A1073" s="1">
        <v>44743</v>
      </c>
      <c r="B1073" s="1" t="str">
        <f t="shared" si="32"/>
        <v>After 5G</v>
      </c>
      <c r="C1073">
        <v>700001</v>
      </c>
      <c r="D1073" t="str">
        <f t="shared" si="33"/>
        <v>Kolkata</v>
      </c>
      <c r="E1073" t="s">
        <v>36</v>
      </c>
      <c r="F1073">
        <v>3.82</v>
      </c>
    </row>
    <row r="1074" spans="1:6">
      <c r="A1074" s="1">
        <v>44743</v>
      </c>
      <c r="B1074" s="1" t="str">
        <f t="shared" si="32"/>
        <v>After 5G</v>
      </c>
      <c r="C1074">
        <v>700001</v>
      </c>
      <c r="D1074" t="str">
        <f t="shared" si="33"/>
        <v>Kolkata</v>
      </c>
      <c r="E1074" t="s">
        <v>38</v>
      </c>
      <c r="F1074">
        <v>2.73</v>
      </c>
    </row>
    <row r="1075" spans="1:6">
      <c r="A1075" s="1">
        <v>44743</v>
      </c>
      <c r="B1075" s="1" t="str">
        <f t="shared" si="32"/>
        <v>After 5G</v>
      </c>
      <c r="C1075">
        <v>700001</v>
      </c>
      <c r="D1075" t="str">
        <f t="shared" si="33"/>
        <v>Kolkata</v>
      </c>
      <c r="E1075" t="s">
        <v>40</v>
      </c>
      <c r="F1075">
        <v>0.68</v>
      </c>
    </row>
    <row r="1076" spans="1:6">
      <c r="A1076" s="1">
        <v>44743</v>
      </c>
      <c r="B1076" s="1" t="str">
        <f t="shared" si="32"/>
        <v>After 5G</v>
      </c>
      <c r="C1076">
        <v>560001</v>
      </c>
      <c r="D1076" t="str">
        <f t="shared" si="33"/>
        <v>Bangalore</v>
      </c>
      <c r="E1076" t="s">
        <v>36</v>
      </c>
      <c r="F1076">
        <v>5.37</v>
      </c>
    </row>
    <row r="1077" spans="1:6">
      <c r="A1077" s="1">
        <v>44743</v>
      </c>
      <c r="B1077" s="1" t="str">
        <f t="shared" si="32"/>
        <v>After 5G</v>
      </c>
      <c r="C1077">
        <v>560001</v>
      </c>
      <c r="D1077" t="str">
        <f t="shared" si="33"/>
        <v>Bangalore</v>
      </c>
      <c r="E1077" t="s">
        <v>38</v>
      </c>
      <c r="F1077">
        <v>2.77</v>
      </c>
    </row>
    <row r="1078" spans="1:6">
      <c r="A1078" s="1">
        <v>44743</v>
      </c>
      <c r="B1078" s="1" t="str">
        <f t="shared" si="32"/>
        <v>After 5G</v>
      </c>
      <c r="C1078">
        <v>560001</v>
      </c>
      <c r="D1078" t="str">
        <f t="shared" si="33"/>
        <v>Bangalore</v>
      </c>
      <c r="E1078" t="s">
        <v>40</v>
      </c>
      <c r="F1078">
        <v>1.1399999999999999</v>
      </c>
    </row>
    <row r="1079" spans="1:6">
      <c r="A1079" s="1">
        <v>44743</v>
      </c>
      <c r="B1079" s="1" t="str">
        <f t="shared" si="32"/>
        <v>After 5G</v>
      </c>
      <c r="C1079">
        <v>600001</v>
      </c>
      <c r="D1079" t="str">
        <f t="shared" si="33"/>
        <v>Chennai</v>
      </c>
      <c r="E1079" t="s">
        <v>36</v>
      </c>
      <c r="F1079">
        <v>6.86</v>
      </c>
    </row>
    <row r="1080" spans="1:6">
      <c r="A1080" s="1">
        <v>44743</v>
      </c>
      <c r="B1080" s="1" t="str">
        <f t="shared" si="32"/>
        <v>After 5G</v>
      </c>
      <c r="C1080">
        <v>600001</v>
      </c>
      <c r="D1080" t="str">
        <f t="shared" si="33"/>
        <v>Chennai</v>
      </c>
      <c r="E1080" t="s">
        <v>38</v>
      </c>
      <c r="F1080">
        <v>3.76</v>
      </c>
    </row>
    <row r="1081" spans="1:6">
      <c r="A1081" s="1">
        <v>44743</v>
      </c>
      <c r="B1081" s="1" t="str">
        <f t="shared" si="32"/>
        <v>After 5G</v>
      </c>
      <c r="C1081">
        <v>600001</v>
      </c>
      <c r="D1081" t="str">
        <f t="shared" si="33"/>
        <v>Chennai</v>
      </c>
      <c r="E1081" t="s">
        <v>40</v>
      </c>
      <c r="F1081">
        <v>0.66</v>
      </c>
    </row>
    <row r="1082" spans="1:6">
      <c r="A1082" s="1">
        <v>44743</v>
      </c>
      <c r="B1082" s="1" t="str">
        <f t="shared" si="32"/>
        <v>After 5G</v>
      </c>
      <c r="C1082">
        <v>500001</v>
      </c>
      <c r="D1082" t="str">
        <f t="shared" si="33"/>
        <v>Hyderabad</v>
      </c>
      <c r="E1082" t="s">
        <v>36</v>
      </c>
      <c r="F1082">
        <v>4.34</v>
      </c>
    </row>
    <row r="1083" spans="1:6">
      <c r="A1083" s="1">
        <v>44743</v>
      </c>
      <c r="B1083" s="1" t="str">
        <f t="shared" si="32"/>
        <v>After 5G</v>
      </c>
      <c r="C1083">
        <v>500001</v>
      </c>
      <c r="D1083" t="str">
        <f t="shared" si="33"/>
        <v>Hyderabad</v>
      </c>
      <c r="E1083" t="s">
        <v>38</v>
      </c>
      <c r="F1083">
        <v>2.71</v>
      </c>
    </row>
    <row r="1084" spans="1:6">
      <c r="A1084" s="1">
        <v>44743</v>
      </c>
      <c r="B1084" s="1" t="str">
        <f t="shared" si="32"/>
        <v>After 5G</v>
      </c>
      <c r="C1084">
        <v>500001</v>
      </c>
      <c r="D1084" t="str">
        <f t="shared" si="33"/>
        <v>Hyderabad</v>
      </c>
      <c r="E1084" t="s">
        <v>40</v>
      </c>
      <c r="F1084">
        <v>0.41</v>
      </c>
    </row>
    <row r="1085" spans="1:6">
      <c r="A1085" s="1">
        <v>44743</v>
      </c>
      <c r="B1085" s="1" t="str">
        <f t="shared" si="32"/>
        <v>After 5G</v>
      </c>
      <c r="C1085">
        <v>411001</v>
      </c>
      <c r="D1085" t="str">
        <f t="shared" si="33"/>
        <v>Pune</v>
      </c>
      <c r="E1085" t="s">
        <v>36</v>
      </c>
      <c r="F1085">
        <v>3.36</v>
      </c>
    </row>
    <row r="1086" spans="1:6">
      <c r="A1086" s="1">
        <v>44743</v>
      </c>
      <c r="B1086" s="1" t="str">
        <f t="shared" si="32"/>
        <v>After 5G</v>
      </c>
      <c r="C1086">
        <v>411001</v>
      </c>
      <c r="D1086" t="str">
        <f t="shared" si="33"/>
        <v>Pune</v>
      </c>
      <c r="E1086" t="s">
        <v>38</v>
      </c>
      <c r="F1086">
        <v>2.04</v>
      </c>
    </row>
    <row r="1087" spans="1:6">
      <c r="A1087" s="1">
        <v>44743</v>
      </c>
      <c r="B1087" s="1" t="str">
        <f t="shared" si="32"/>
        <v>After 5G</v>
      </c>
      <c r="C1087">
        <v>411001</v>
      </c>
      <c r="D1087" t="str">
        <f t="shared" si="33"/>
        <v>Pune</v>
      </c>
      <c r="E1087" t="s">
        <v>40</v>
      </c>
      <c r="F1087">
        <v>0.51</v>
      </c>
    </row>
    <row r="1088" spans="1:6">
      <c r="A1088" s="1">
        <v>44743</v>
      </c>
      <c r="B1088" s="1" t="str">
        <f t="shared" si="32"/>
        <v>After 5G</v>
      </c>
      <c r="C1088">
        <v>380001</v>
      </c>
      <c r="D1088" t="str">
        <f t="shared" si="33"/>
        <v>Ahmedabad</v>
      </c>
      <c r="E1088" t="s">
        <v>36</v>
      </c>
      <c r="F1088">
        <v>2.62</v>
      </c>
    </row>
    <row r="1089" spans="1:6">
      <c r="A1089" s="1">
        <v>44743</v>
      </c>
      <c r="B1089" s="1" t="str">
        <f t="shared" si="32"/>
        <v>After 5G</v>
      </c>
      <c r="C1089">
        <v>380001</v>
      </c>
      <c r="D1089" t="str">
        <f t="shared" si="33"/>
        <v>Ahmedabad</v>
      </c>
      <c r="E1089" t="s">
        <v>38</v>
      </c>
      <c r="F1089">
        <v>1.43</v>
      </c>
    </row>
    <row r="1090" spans="1:6">
      <c r="A1090" s="1">
        <v>44743</v>
      </c>
      <c r="B1090" s="1" t="str">
        <f t="shared" si="32"/>
        <v>After 5G</v>
      </c>
      <c r="C1090">
        <v>380001</v>
      </c>
      <c r="D1090" t="str">
        <f t="shared" si="33"/>
        <v>Ahmedabad</v>
      </c>
      <c r="E1090" t="s">
        <v>40</v>
      </c>
      <c r="F1090">
        <v>0.4</v>
      </c>
    </row>
    <row r="1091" spans="1:6">
      <c r="A1091" s="1">
        <v>44743</v>
      </c>
      <c r="B1091" s="1" t="str">
        <f t="shared" ref="B1091:B1154" si="34">VLOOKUP(A1091,$H$2:$K$9,3,FALSE)</f>
        <v>After 5G</v>
      </c>
      <c r="C1091">
        <v>302001</v>
      </c>
      <c r="D1091" t="str">
        <f t="shared" ref="D1091:D1154" si="35">VLOOKUP(C1091,$M$2:$N$16,2,FALSE)</f>
        <v>Jaipur</v>
      </c>
      <c r="E1091" t="s">
        <v>36</v>
      </c>
      <c r="F1091">
        <v>1.66</v>
      </c>
    </row>
    <row r="1092" spans="1:6">
      <c r="A1092" s="1">
        <v>44743</v>
      </c>
      <c r="B1092" s="1" t="str">
        <f t="shared" si="34"/>
        <v>After 5G</v>
      </c>
      <c r="C1092">
        <v>302001</v>
      </c>
      <c r="D1092" t="str">
        <f t="shared" si="35"/>
        <v>Jaipur</v>
      </c>
      <c r="E1092" t="s">
        <v>38</v>
      </c>
      <c r="F1092">
        <v>1.05</v>
      </c>
    </row>
    <row r="1093" spans="1:6">
      <c r="A1093" s="1">
        <v>44743</v>
      </c>
      <c r="B1093" s="1" t="str">
        <f t="shared" si="34"/>
        <v>After 5G</v>
      </c>
      <c r="C1093">
        <v>302001</v>
      </c>
      <c r="D1093" t="str">
        <f t="shared" si="35"/>
        <v>Jaipur</v>
      </c>
      <c r="E1093" t="s">
        <v>40</v>
      </c>
      <c r="F1093">
        <v>0.39</v>
      </c>
    </row>
    <row r="1094" spans="1:6">
      <c r="A1094" s="1">
        <v>44743</v>
      </c>
      <c r="B1094" s="1" t="str">
        <f t="shared" si="34"/>
        <v>After 5G</v>
      </c>
      <c r="C1094">
        <v>226001</v>
      </c>
      <c r="D1094" t="str">
        <f t="shared" si="35"/>
        <v>Lucknow</v>
      </c>
      <c r="E1094" t="s">
        <v>36</v>
      </c>
      <c r="F1094">
        <v>2.82</v>
      </c>
    </row>
    <row r="1095" spans="1:6">
      <c r="A1095" s="1">
        <v>44743</v>
      </c>
      <c r="B1095" s="1" t="str">
        <f t="shared" si="34"/>
        <v>After 5G</v>
      </c>
      <c r="C1095">
        <v>226001</v>
      </c>
      <c r="D1095" t="str">
        <f t="shared" si="35"/>
        <v>Lucknow</v>
      </c>
      <c r="E1095" t="s">
        <v>38</v>
      </c>
      <c r="F1095">
        <v>1.82</v>
      </c>
    </row>
    <row r="1096" spans="1:6">
      <c r="A1096" s="1">
        <v>44743</v>
      </c>
      <c r="B1096" s="1" t="str">
        <f t="shared" si="34"/>
        <v>After 5G</v>
      </c>
      <c r="C1096">
        <v>226001</v>
      </c>
      <c r="D1096" t="str">
        <f t="shared" si="35"/>
        <v>Lucknow</v>
      </c>
      <c r="E1096" t="s">
        <v>40</v>
      </c>
      <c r="F1096">
        <v>0.55000000000000004</v>
      </c>
    </row>
    <row r="1097" spans="1:6">
      <c r="A1097" s="1">
        <v>44743</v>
      </c>
      <c r="B1097" s="1" t="str">
        <f t="shared" si="34"/>
        <v>After 5G</v>
      </c>
      <c r="C1097">
        <v>800008</v>
      </c>
      <c r="D1097" t="str">
        <f t="shared" si="35"/>
        <v>Patna</v>
      </c>
      <c r="E1097" t="s">
        <v>36</v>
      </c>
      <c r="F1097">
        <v>1.1200000000000001</v>
      </c>
    </row>
    <row r="1098" spans="1:6">
      <c r="A1098" s="1">
        <v>44743</v>
      </c>
      <c r="B1098" s="1" t="str">
        <f t="shared" si="34"/>
        <v>After 5G</v>
      </c>
      <c r="C1098">
        <v>800008</v>
      </c>
      <c r="D1098" t="str">
        <f t="shared" si="35"/>
        <v>Patna</v>
      </c>
      <c r="E1098" t="s">
        <v>38</v>
      </c>
      <c r="F1098">
        <v>0.8</v>
      </c>
    </row>
    <row r="1099" spans="1:6">
      <c r="A1099" s="1">
        <v>44743</v>
      </c>
      <c r="B1099" s="1" t="str">
        <f t="shared" si="34"/>
        <v>After 5G</v>
      </c>
      <c r="C1099">
        <v>800008</v>
      </c>
      <c r="D1099" t="str">
        <f t="shared" si="35"/>
        <v>Patna</v>
      </c>
      <c r="E1099" t="s">
        <v>40</v>
      </c>
      <c r="F1099">
        <v>0.32</v>
      </c>
    </row>
    <row r="1100" spans="1:6">
      <c r="A1100" s="1">
        <v>44743</v>
      </c>
      <c r="B1100" s="1" t="str">
        <f t="shared" si="34"/>
        <v>After 5G</v>
      </c>
      <c r="C1100">
        <v>641001</v>
      </c>
      <c r="D1100" t="str">
        <f t="shared" si="35"/>
        <v>Coimbatore</v>
      </c>
      <c r="E1100" t="s">
        <v>36</v>
      </c>
      <c r="F1100">
        <v>1.4</v>
      </c>
    </row>
    <row r="1101" spans="1:6">
      <c r="A1101" s="1">
        <v>44743</v>
      </c>
      <c r="B1101" s="1" t="str">
        <f t="shared" si="34"/>
        <v>After 5G</v>
      </c>
      <c r="C1101">
        <v>641001</v>
      </c>
      <c r="D1101" t="str">
        <f t="shared" si="35"/>
        <v>Coimbatore</v>
      </c>
      <c r="E1101" t="s">
        <v>38</v>
      </c>
      <c r="F1101">
        <v>0.93</v>
      </c>
    </row>
    <row r="1102" spans="1:6">
      <c r="A1102" s="1">
        <v>44743</v>
      </c>
      <c r="B1102" s="1" t="str">
        <f t="shared" si="34"/>
        <v>After 5G</v>
      </c>
      <c r="C1102">
        <v>641001</v>
      </c>
      <c r="D1102" t="str">
        <f t="shared" si="35"/>
        <v>Coimbatore</v>
      </c>
      <c r="E1102" t="s">
        <v>40</v>
      </c>
      <c r="F1102">
        <v>0.28000000000000003</v>
      </c>
    </row>
    <row r="1103" spans="1:6">
      <c r="A1103" s="1">
        <v>44743</v>
      </c>
      <c r="B1103" s="1" t="str">
        <f t="shared" si="34"/>
        <v>After 5G</v>
      </c>
      <c r="C1103">
        <v>160017</v>
      </c>
      <c r="D1103" t="str">
        <f t="shared" si="35"/>
        <v>Chandigarh</v>
      </c>
      <c r="E1103" t="s">
        <v>36</v>
      </c>
      <c r="F1103">
        <v>0.7</v>
      </c>
    </row>
    <row r="1104" spans="1:6">
      <c r="A1104" s="1">
        <v>44743</v>
      </c>
      <c r="B1104" s="1" t="str">
        <f t="shared" si="34"/>
        <v>After 5G</v>
      </c>
      <c r="C1104">
        <v>160017</v>
      </c>
      <c r="D1104" t="str">
        <f t="shared" si="35"/>
        <v>Chandigarh</v>
      </c>
      <c r="E1104" t="s">
        <v>38</v>
      </c>
      <c r="F1104">
        <v>0.49</v>
      </c>
    </row>
    <row r="1105" spans="1:6">
      <c r="A1105" s="1">
        <v>44743</v>
      </c>
      <c r="B1105" s="1" t="str">
        <f t="shared" si="34"/>
        <v>After 5G</v>
      </c>
      <c r="C1105">
        <v>160017</v>
      </c>
      <c r="D1105" t="str">
        <f t="shared" si="35"/>
        <v>Chandigarh</v>
      </c>
      <c r="E1105" t="s">
        <v>40</v>
      </c>
      <c r="F1105">
        <v>0.17</v>
      </c>
    </row>
    <row r="1106" spans="1:6">
      <c r="A1106" s="1">
        <v>44743</v>
      </c>
      <c r="B1106" s="1" t="str">
        <f t="shared" si="34"/>
        <v>After 5G</v>
      </c>
      <c r="C1106">
        <v>122001</v>
      </c>
      <c r="D1106" t="str">
        <f t="shared" si="35"/>
        <v>Gurgaon</v>
      </c>
      <c r="E1106" t="s">
        <v>36</v>
      </c>
      <c r="F1106">
        <v>1.1000000000000001</v>
      </c>
    </row>
    <row r="1107" spans="1:6">
      <c r="A1107" s="1">
        <v>44743</v>
      </c>
      <c r="B1107" s="1" t="str">
        <f t="shared" si="34"/>
        <v>After 5G</v>
      </c>
      <c r="C1107">
        <v>122001</v>
      </c>
      <c r="D1107" t="str">
        <f t="shared" si="35"/>
        <v>Gurgaon</v>
      </c>
      <c r="E1107" t="s">
        <v>38</v>
      </c>
      <c r="F1107">
        <v>0.7</v>
      </c>
    </row>
    <row r="1108" spans="1:6">
      <c r="A1108" s="1">
        <v>44743</v>
      </c>
      <c r="B1108" s="1" t="str">
        <f t="shared" si="34"/>
        <v>After 5G</v>
      </c>
      <c r="C1108">
        <v>122001</v>
      </c>
      <c r="D1108" t="str">
        <f t="shared" si="35"/>
        <v>Gurgaon</v>
      </c>
      <c r="E1108" t="s">
        <v>40</v>
      </c>
      <c r="F1108">
        <v>0.28999999999999998</v>
      </c>
    </row>
    <row r="1109" spans="1:6">
      <c r="A1109" s="1">
        <v>44743</v>
      </c>
      <c r="B1109" s="1" t="str">
        <f t="shared" si="34"/>
        <v>After 5G</v>
      </c>
      <c r="C1109">
        <v>492001</v>
      </c>
      <c r="D1109" t="str">
        <f t="shared" si="35"/>
        <v>Raipur</v>
      </c>
      <c r="E1109" t="s">
        <v>36</v>
      </c>
      <c r="F1109">
        <v>0.5</v>
      </c>
    </row>
    <row r="1110" spans="1:6">
      <c r="A1110" s="1">
        <v>44743</v>
      </c>
      <c r="B1110" s="1" t="str">
        <f t="shared" si="34"/>
        <v>After 5G</v>
      </c>
      <c r="C1110">
        <v>492001</v>
      </c>
      <c r="D1110" t="str">
        <f t="shared" si="35"/>
        <v>Raipur</v>
      </c>
      <c r="E1110" t="s">
        <v>38</v>
      </c>
      <c r="F1110">
        <v>0.33</v>
      </c>
    </row>
    <row r="1111" spans="1:6">
      <c r="A1111" s="1">
        <v>44743</v>
      </c>
      <c r="B1111" s="1" t="str">
        <f t="shared" si="34"/>
        <v>After 5G</v>
      </c>
      <c r="C1111">
        <v>492001</v>
      </c>
      <c r="D1111" t="str">
        <f t="shared" si="35"/>
        <v>Raipur</v>
      </c>
      <c r="E1111" t="s">
        <v>40</v>
      </c>
      <c r="F1111">
        <v>7.0000000000000007E-2</v>
      </c>
    </row>
    <row r="1112" spans="1:6">
      <c r="A1112" s="1">
        <v>44774</v>
      </c>
      <c r="B1112" s="1" t="str">
        <f t="shared" si="34"/>
        <v>After 5G</v>
      </c>
      <c r="C1112">
        <v>400001</v>
      </c>
      <c r="D1112" t="str">
        <f t="shared" si="35"/>
        <v>Mumbai</v>
      </c>
      <c r="E1112" t="s">
        <v>36</v>
      </c>
      <c r="F1112">
        <v>5.46</v>
      </c>
    </row>
    <row r="1113" spans="1:6">
      <c r="A1113" s="1">
        <v>44774</v>
      </c>
      <c r="B1113" s="1" t="str">
        <f t="shared" si="34"/>
        <v>After 5G</v>
      </c>
      <c r="C1113">
        <v>400001</v>
      </c>
      <c r="D1113" t="str">
        <f t="shared" si="35"/>
        <v>Mumbai</v>
      </c>
      <c r="E1113" t="s">
        <v>38</v>
      </c>
      <c r="F1113">
        <v>3.84</v>
      </c>
    </row>
    <row r="1114" spans="1:6">
      <c r="A1114" s="1">
        <v>44774</v>
      </c>
      <c r="B1114" s="1" t="str">
        <f t="shared" si="34"/>
        <v>After 5G</v>
      </c>
      <c r="C1114">
        <v>400001</v>
      </c>
      <c r="D1114" t="str">
        <f t="shared" si="35"/>
        <v>Mumbai</v>
      </c>
      <c r="E1114" t="s">
        <v>40</v>
      </c>
      <c r="F1114">
        <v>1.01</v>
      </c>
    </row>
    <row r="1115" spans="1:6">
      <c r="A1115" s="1">
        <v>44774</v>
      </c>
      <c r="B1115" s="1" t="str">
        <f t="shared" si="34"/>
        <v>After 5G</v>
      </c>
      <c r="C1115">
        <v>110001</v>
      </c>
      <c r="D1115" t="str">
        <f t="shared" si="35"/>
        <v>Delhi</v>
      </c>
      <c r="E1115" t="s">
        <v>36</v>
      </c>
      <c r="F1115">
        <v>5.24</v>
      </c>
    </row>
    <row r="1116" spans="1:6">
      <c r="A1116" s="1">
        <v>44774</v>
      </c>
      <c r="B1116" s="1" t="str">
        <f t="shared" si="34"/>
        <v>After 5G</v>
      </c>
      <c r="C1116">
        <v>110001</v>
      </c>
      <c r="D1116" t="str">
        <f t="shared" si="35"/>
        <v>Delhi</v>
      </c>
      <c r="E1116" t="s">
        <v>38</v>
      </c>
      <c r="F1116">
        <v>3.55</v>
      </c>
    </row>
    <row r="1117" spans="1:6">
      <c r="A1117" s="1">
        <v>44774</v>
      </c>
      <c r="B1117" s="1" t="str">
        <f t="shared" si="34"/>
        <v>After 5G</v>
      </c>
      <c r="C1117">
        <v>110001</v>
      </c>
      <c r="D1117" t="str">
        <f t="shared" si="35"/>
        <v>Delhi</v>
      </c>
      <c r="E1117" t="s">
        <v>40</v>
      </c>
      <c r="F1117">
        <v>0.75</v>
      </c>
    </row>
    <row r="1118" spans="1:6">
      <c r="A1118" s="1">
        <v>44774</v>
      </c>
      <c r="B1118" s="1" t="str">
        <f t="shared" si="34"/>
        <v>After 5G</v>
      </c>
      <c r="C1118">
        <v>700001</v>
      </c>
      <c r="D1118" t="str">
        <f t="shared" si="35"/>
        <v>Kolkata</v>
      </c>
      <c r="E1118" t="s">
        <v>36</v>
      </c>
      <c r="F1118">
        <v>9.01</v>
      </c>
    </row>
    <row r="1119" spans="1:6">
      <c r="A1119" s="1">
        <v>44774</v>
      </c>
      <c r="B1119" s="1" t="str">
        <f t="shared" si="34"/>
        <v>After 5G</v>
      </c>
      <c r="C1119">
        <v>700001</v>
      </c>
      <c r="D1119" t="str">
        <f t="shared" si="35"/>
        <v>Kolkata</v>
      </c>
      <c r="E1119" t="s">
        <v>38</v>
      </c>
      <c r="F1119">
        <v>5.73</v>
      </c>
    </row>
    <row r="1120" spans="1:6">
      <c r="A1120" s="1">
        <v>44774</v>
      </c>
      <c r="B1120" s="1" t="str">
        <f t="shared" si="34"/>
        <v>After 5G</v>
      </c>
      <c r="C1120">
        <v>700001</v>
      </c>
      <c r="D1120" t="str">
        <f t="shared" si="35"/>
        <v>Kolkata</v>
      </c>
      <c r="E1120" t="s">
        <v>40</v>
      </c>
      <c r="F1120">
        <v>1.36</v>
      </c>
    </row>
    <row r="1121" spans="1:6">
      <c r="A1121" s="1">
        <v>44774</v>
      </c>
      <c r="B1121" s="1" t="str">
        <f t="shared" si="34"/>
        <v>After 5G</v>
      </c>
      <c r="C1121">
        <v>560001</v>
      </c>
      <c r="D1121" t="str">
        <f t="shared" si="35"/>
        <v>Bangalore</v>
      </c>
      <c r="E1121" t="s">
        <v>36</v>
      </c>
      <c r="F1121">
        <v>5.33</v>
      </c>
    </row>
    <row r="1122" spans="1:6">
      <c r="A1122" s="1">
        <v>44774</v>
      </c>
      <c r="B1122" s="1" t="str">
        <f t="shared" si="34"/>
        <v>After 5G</v>
      </c>
      <c r="C1122">
        <v>560001</v>
      </c>
      <c r="D1122" t="str">
        <f t="shared" si="35"/>
        <v>Bangalore</v>
      </c>
      <c r="E1122" t="s">
        <v>38</v>
      </c>
      <c r="F1122">
        <v>3.16</v>
      </c>
    </row>
    <row r="1123" spans="1:6">
      <c r="A1123" s="1">
        <v>44774</v>
      </c>
      <c r="B1123" s="1" t="str">
        <f t="shared" si="34"/>
        <v>After 5G</v>
      </c>
      <c r="C1123">
        <v>560001</v>
      </c>
      <c r="D1123" t="str">
        <f t="shared" si="35"/>
        <v>Bangalore</v>
      </c>
      <c r="E1123" t="s">
        <v>40</v>
      </c>
      <c r="F1123">
        <v>1</v>
      </c>
    </row>
    <row r="1124" spans="1:6">
      <c r="A1124" s="1">
        <v>44774</v>
      </c>
      <c r="B1124" s="1" t="str">
        <f t="shared" si="34"/>
        <v>After 5G</v>
      </c>
      <c r="C1124">
        <v>600001</v>
      </c>
      <c r="D1124" t="str">
        <f t="shared" si="35"/>
        <v>Chennai</v>
      </c>
      <c r="E1124" t="s">
        <v>36</v>
      </c>
      <c r="F1124">
        <v>3.98</v>
      </c>
    </row>
    <row r="1125" spans="1:6">
      <c r="A1125" s="1">
        <v>44774</v>
      </c>
      <c r="B1125" s="1" t="str">
        <f t="shared" si="34"/>
        <v>After 5G</v>
      </c>
      <c r="C1125">
        <v>600001</v>
      </c>
      <c r="D1125" t="str">
        <f t="shared" si="35"/>
        <v>Chennai</v>
      </c>
      <c r="E1125" t="s">
        <v>38</v>
      </c>
      <c r="F1125">
        <v>2.17</v>
      </c>
    </row>
    <row r="1126" spans="1:6">
      <c r="A1126" s="1">
        <v>44774</v>
      </c>
      <c r="B1126" s="1" t="str">
        <f t="shared" si="34"/>
        <v>After 5G</v>
      </c>
      <c r="C1126">
        <v>600001</v>
      </c>
      <c r="D1126" t="str">
        <f t="shared" si="35"/>
        <v>Chennai</v>
      </c>
      <c r="E1126" t="s">
        <v>40</v>
      </c>
      <c r="F1126">
        <v>0.6</v>
      </c>
    </row>
    <row r="1127" spans="1:6">
      <c r="A1127" s="1">
        <v>44774</v>
      </c>
      <c r="B1127" s="1" t="str">
        <f t="shared" si="34"/>
        <v>After 5G</v>
      </c>
      <c r="C1127">
        <v>500001</v>
      </c>
      <c r="D1127" t="str">
        <f t="shared" si="35"/>
        <v>Hyderabad</v>
      </c>
      <c r="E1127" t="s">
        <v>36</v>
      </c>
      <c r="F1127">
        <v>3.2</v>
      </c>
    </row>
    <row r="1128" spans="1:6">
      <c r="A1128" s="1">
        <v>44774</v>
      </c>
      <c r="B1128" s="1" t="str">
        <f t="shared" si="34"/>
        <v>After 5G</v>
      </c>
      <c r="C1128">
        <v>500001</v>
      </c>
      <c r="D1128" t="str">
        <f t="shared" si="35"/>
        <v>Hyderabad</v>
      </c>
      <c r="E1128" t="s">
        <v>38</v>
      </c>
      <c r="F1128">
        <v>1.99</v>
      </c>
    </row>
    <row r="1129" spans="1:6">
      <c r="A1129" s="1">
        <v>44774</v>
      </c>
      <c r="B1129" s="1" t="str">
        <f t="shared" si="34"/>
        <v>After 5G</v>
      </c>
      <c r="C1129">
        <v>500001</v>
      </c>
      <c r="D1129" t="str">
        <f t="shared" si="35"/>
        <v>Hyderabad</v>
      </c>
      <c r="E1129" t="s">
        <v>40</v>
      </c>
      <c r="F1129">
        <v>0.44</v>
      </c>
    </row>
    <row r="1130" spans="1:6">
      <c r="A1130" s="1">
        <v>44774</v>
      </c>
      <c r="B1130" s="1" t="str">
        <f t="shared" si="34"/>
        <v>After 5G</v>
      </c>
      <c r="C1130">
        <v>411001</v>
      </c>
      <c r="D1130" t="str">
        <f t="shared" si="35"/>
        <v>Pune</v>
      </c>
      <c r="E1130" t="s">
        <v>36</v>
      </c>
      <c r="F1130">
        <v>3.39</v>
      </c>
    </row>
    <row r="1131" spans="1:6">
      <c r="A1131" s="1">
        <v>44774</v>
      </c>
      <c r="B1131" s="1" t="str">
        <f t="shared" si="34"/>
        <v>After 5G</v>
      </c>
      <c r="C1131">
        <v>411001</v>
      </c>
      <c r="D1131" t="str">
        <f t="shared" si="35"/>
        <v>Pune</v>
      </c>
      <c r="E1131" t="s">
        <v>38</v>
      </c>
      <c r="F1131">
        <v>2.15</v>
      </c>
    </row>
    <row r="1132" spans="1:6">
      <c r="A1132" s="1">
        <v>44774</v>
      </c>
      <c r="B1132" s="1" t="str">
        <f t="shared" si="34"/>
        <v>After 5G</v>
      </c>
      <c r="C1132">
        <v>411001</v>
      </c>
      <c r="D1132" t="str">
        <f t="shared" si="35"/>
        <v>Pune</v>
      </c>
      <c r="E1132" t="s">
        <v>40</v>
      </c>
      <c r="F1132">
        <v>0.68</v>
      </c>
    </row>
    <row r="1133" spans="1:6">
      <c r="A1133" s="1">
        <v>44774</v>
      </c>
      <c r="B1133" s="1" t="str">
        <f t="shared" si="34"/>
        <v>After 5G</v>
      </c>
      <c r="C1133">
        <v>380001</v>
      </c>
      <c r="D1133" t="str">
        <f t="shared" si="35"/>
        <v>Ahmedabad</v>
      </c>
      <c r="E1133" t="s">
        <v>36</v>
      </c>
      <c r="F1133">
        <v>3.21</v>
      </c>
    </row>
    <row r="1134" spans="1:6">
      <c r="A1134" s="1">
        <v>44774</v>
      </c>
      <c r="B1134" s="1" t="str">
        <f t="shared" si="34"/>
        <v>After 5G</v>
      </c>
      <c r="C1134">
        <v>380001</v>
      </c>
      <c r="D1134" t="str">
        <f t="shared" si="35"/>
        <v>Ahmedabad</v>
      </c>
      <c r="E1134" t="s">
        <v>38</v>
      </c>
      <c r="F1134">
        <v>2.3199999999999998</v>
      </c>
    </row>
    <row r="1135" spans="1:6">
      <c r="A1135" s="1">
        <v>44774</v>
      </c>
      <c r="B1135" s="1" t="str">
        <f t="shared" si="34"/>
        <v>After 5G</v>
      </c>
      <c r="C1135">
        <v>380001</v>
      </c>
      <c r="D1135" t="str">
        <f t="shared" si="35"/>
        <v>Ahmedabad</v>
      </c>
      <c r="E1135" t="s">
        <v>40</v>
      </c>
      <c r="F1135">
        <v>0.77</v>
      </c>
    </row>
    <row r="1136" spans="1:6">
      <c r="A1136" s="1">
        <v>44774</v>
      </c>
      <c r="B1136" s="1" t="str">
        <f t="shared" si="34"/>
        <v>After 5G</v>
      </c>
      <c r="C1136">
        <v>302001</v>
      </c>
      <c r="D1136" t="str">
        <f t="shared" si="35"/>
        <v>Jaipur</v>
      </c>
      <c r="E1136" t="s">
        <v>36</v>
      </c>
      <c r="F1136">
        <v>1.86</v>
      </c>
    </row>
    <row r="1137" spans="1:6">
      <c r="A1137" s="1">
        <v>44774</v>
      </c>
      <c r="B1137" s="1" t="str">
        <f t="shared" si="34"/>
        <v>After 5G</v>
      </c>
      <c r="C1137">
        <v>302001</v>
      </c>
      <c r="D1137" t="str">
        <f t="shared" si="35"/>
        <v>Jaipur</v>
      </c>
      <c r="E1137" t="s">
        <v>38</v>
      </c>
      <c r="F1137">
        <v>1.1299999999999999</v>
      </c>
    </row>
    <row r="1138" spans="1:6">
      <c r="A1138" s="1">
        <v>44774</v>
      </c>
      <c r="B1138" s="1" t="str">
        <f t="shared" si="34"/>
        <v>After 5G</v>
      </c>
      <c r="C1138">
        <v>302001</v>
      </c>
      <c r="D1138" t="str">
        <f t="shared" si="35"/>
        <v>Jaipur</v>
      </c>
      <c r="E1138" t="s">
        <v>40</v>
      </c>
      <c r="F1138">
        <v>0.33</v>
      </c>
    </row>
    <row r="1139" spans="1:6">
      <c r="A1139" s="1">
        <v>44774</v>
      </c>
      <c r="B1139" s="1" t="str">
        <f t="shared" si="34"/>
        <v>After 5G</v>
      </c>
      <c r="C1139">
        <v>226001</v>
      </c>
      <c r="D1139" t="str">
        <f t="shared" si="35"/>
        <v>Lucknow</v>
      </c>
      <c r="E1139" t="s">
        <v>36</v>
      </c>
      <c r="F1139">
        <v>1.64</v>
      </c>
    </row>
    <row r="1140" spans="1:6">
      <c r="A1140" s="1">
        <v>44774</v>
      </c>
      <c r="B1140" s="1" t="str">
        <f t="shared" si="34"/>
        <v>After 5G</v>
      </c>
      <c r="C1140">
        <v>226001</v>
      </c>
      <c r="D1140" t="str">
        <f t="shared" si="35"/>
        <v>Lucknow</v>
      </c>
      <c r="E1140" t="s">
        <v>38</v>
      </c>
      <c r="F1140">
        <v>1.21</v>
      </c>
    </row>
    <row r="1141" spans="1:6">
      <c r="A1141" s="1">
        <v>44774</v>
      </c>
      <c r="B1141" s="1" t="str">
        <f t="shared" si="34"/>
        <v>After 5G</v>
      </c>
      <c r="C1141">
        <v>226001</v>
      </c>
      <c r="D1141" t="str">
        <f t="shared" si="35"/>
        <v>Lucknow</v>
      </c>
      <c r="E1141" t="s">
        <v>40</v>
      </c>
      <c r="F1141">
        <v>0.24</v>
      </c>
    </row>
    <row r="1142" spans="1:6">
      <c r="A1142" s="1">
        <v>44774</v>
      </c>
      <c r="B1142" s="1" t="str">
        <f t="shared" si="34"/>
        <v>After 5G</v>
      </c>
      <c r="C1142">
        <v>800008</v>
      </c>
      <c r="D1142" t="str">
        <f t="shared" si="35"/>
        <v>Patna</v>
      </c>
      <c r="E1142" t="s">
        <v>36</v>
      </c>
      <c r="F1142">
        <v>1.2</v>
      </c>
    </row>
    <row r="1143" spans="1:6">
      <c r="A1143" s="1">
        <v>44774</v>
      </c>
      <c r="B1143" s="1" t="str">
        <f t="shared" si="34"/>
        <v>After 5G</v>
      </c>
      <c r="C1143">
        <v>800008</v>
      </c>
      <c r="D1143" t="str">
        <f t="shared" si="35"/>
        <v>Patna</v>
      </c>
      <c r="E1143" t="s">
        <v>38</v>
      </c>
      <c r="F1143">
        <v>0.81</v>
      </c>
    </row>
    <row r="1144" spans="1:6">
      <c r="A1144" s="1">
        <v>44774</v>
      </c>
      <c r="B1144" s="1" t="str">
        <f t="shared" si="34"/>
        <v>After 5G</v>
      </c>
      <c r="C1144">
        <v>800008</v>
      </c>
      <c r="D1144" t="str">
        <f t="shared" si="35"/>
        <v>Patna</v>
      </c>
      <c r="E1144" t="s">
        <v>40</v>
      </c>
      <c r="F1144">
        <v>0.26</v>
      </c>
    </row>
    <row r="1145" spans="1:6">
      <c r="A1145" s="1">
        <v>44774</v>
      </c>
      <c r="B1145" s="1" t="str">
        <f t="shared" si="34"/>
        <v>After 5G</v>
      </c>
      <c r="C1145">
        <v>641001</v>
      </c>
      <c r="D1145" t="str">
        <f t="shared" si="35"/>
        <v>Coimbatore</v>
      </c>
      <c r="E1145" t="s">
        <v>36</v>
      </c>
      <c r="F1145">
        <v>2.17</v>
      </c>
    </row>
    <row r="1146" spans="1:6">
      <c r="A1146" s="1">
        <v>44774</v>
      </c>
      <c r="B1146" s="1" t="str">
        <f t="shared" si="34"/>
        <v>After 5G</v>
      </c>
      <c r="C1146">
        <v>641001</v>
      </c>
      <c r="D1146" t="str">
        <f t="shared" si="35"/>
        <v>Coimbatore</v>
      </c>
      <c r="E1146" t="s">
        <v>38</v>
      </c>
      <c r="F1146">
        <v>1.36</v>
      </c>
    </row>
    <row r="1147" spans="1:6">
      <c r="A1147" s="1">
        <v>44774</v>
      </c>
      <c r="B1147" s="1" t="str">
        <f t="shared" si="34"/>
        <v>After 5G</v>
      </c>
      <c r="C1147">
        <v>641001</v>
      </c>
      <c r="D1147" t="str">
        <f t="shared" si="35"/>
        <v>Coimbatore</v>
      </c>
      <c r="E1147" t="s">
        <v>40</v>
      </c>
      <c r="F1147">
        <v>0.41</v>
      </c>
    </row>
    <row r="1148" spans="1:6">
      <c r="A1148" s="1">
        <v>44774</v>
      </c>
      <c r="B1148" s="1" t="str">
        <f t="shared" si="34"/>
        <v>After 5G</v>
      </c>
      <c r="C1148">
        <v>160017</v>
      </c>
      <c r="D1148" t="str">
        <f t="shared" si="35"/>
        <v>Chandigarh</v>
      </c>
      <c r="E1148" t="s">
        <v>36</v>
      </c>
      <c r="F1148">
        <v>0.93</v>
      </c>
    </row>
    <row r="1149" spans="1:6">
      <c r="A1149" s="1">
        <v>44774</v>
      </c>
      <c r="B1149" s="1" t="str">
        <f t="shared" si="34"/>
        <v>After 5G</v>
      </c>
      <c r="C1149">
        <v>160017</v>
      </c>
      <c r="D1149" t="str">
        <f t="shared" si="35"/>
        <v>Chandigarh</v>
      </c>
      <c r="E1149" t="s">
        <v>38</v>
      </c>
      <c r="F1149">
        <v>0.55000000000000004</v>
      </c>
    </row>
    <row r="1150" spans="1:6">
      <c r="A1150" s="1">
        <v>44774</v>
      </c>
      <c r="B1150" s="1" t="str">
        <f t="shared" si="34"/>
        <v>After 5G</v>
      </c>
      <c r="C1150">
        <v>160017</v>
      </c>
      <c r="D1150" t="str">
        <f t="shared" si="35"/>
        <v>Chandigarh</v>
      </c>
      <c r="E1150" t="s">
        <v>40</v>
      </c>
      <c r="F1150">
        <v>0.11</v>
      </c>
    </row>
    <row r="1151" spans="1:6">
      <c r="A1151" s="1">
        <v>44774</v>
      </c>
      <c r="B1151" s="1" t="str">
        <f t="shared" si="34"/>
        <v>After 5G</v>
      </c>
      <c r="C1151">
        <v>122001</v>
      </c>
      <c r="D1151" t="str">
        <f t="shared" si="35"/>
        <v>Gurgaon</v>
      </c>
      <c r="E1151" t="s">
        <v>36</v>
      </c>
      <c r="F1151">
        <v>0.73</v>
      </c>
    </row>
    <row r="1152" spans="1:6">
      <c r="A1152" s="1">
        <v>44774</v>
      </c>
      <c r="B1152" s="1" t="str">
        <f t="shared" si="34"/>
        <v>After 5G</v>
      </c>
      <c r="C1152">
        <v>122001</v>
      </c>
      <c r="D1152" t="str">
        <f t="shared" si="35"/>
        <v>Gurgaon</v>
      </c>
      <c r="E1152" t="s">
        <v>38</v>
      </c>
      <c r="F1152">
        <v>0.41</v>
      </c>
    </row>
    <row r="1153" spans="1:6">
      <c r="A1153" s="1">
        <v>44774</v>
      </c>
      <c r="B1153" s="1" t="str">
        <f t="shared" si="34"/>
        <v>After 5G</v>
      </c>
      <c r="C1153">
        <v>122001</v>
      </c>
      <c r="D1153" t="str">
        <f t="shared" si="35"/>
        <v>Gurgaon</v>
      </c>
      <c r="E1153" t="s">
        <v>40</v>
      </c>
      <c r="F1153">
        <v>0.11</v>
      </c>
    </row>
    <row r="1154" spans="1:6">
      <c r="A1154" s="1">
        <v>44774</v>
      </c>
      <c r="B1154" s="1" t="str">
        <f t="shared" si="34"/>
        <v>After 5G</v>
      </c>
      <c r="C1154">
        <v>492001</v>
      </c>
      <c r="D1154" t="str">
        <f t="shared" si="35"/>
        <v>Raipur</v>
      </c>
      <c r="E1154" t="s">
        <v>36</v>
      </c>
      <c r="F1154">
        <v>0.44</v>
      </c>
    </row>
    <row r="1155" spans="1:6">
      <c r="A1155" s="1">
        <v>44774</v>
      </c>
      <c r="B1155" s="1" t="str">
        <f t="shared" ref="B1155:B1201" si="36">VLOOKUP(A1155,$H$2:$K$9,3,FALSE)</f>
        <v>After 5G</v>
      </c>
      <c r="C1155">
        <v>492001</v>
      </c>
      <c r="D1155" t="str">
        <f t="shared" ref="D1155:D1201" si="37">VLOOKUP(C1155,$M$2:$N$16,2,FALSE)</f>
        <v>Raipur</v>
      </c>
      <c r="E1155" t="s">
        <v>38</v>
      </c>
      <c r="F1155">
        <v>0.26</v>
      </c>
    </row>
    <row r="1156" spans="1:6">
      <c r="A1156" s="1">
        <v>44774</v>
      </c>
      <c r="B1156" s="1" t="str">
        <f t="shared" si="36"/>
        <v>After 5G</v>
      </c>
      <c r="C1156">
        <v>492001</v>
      </c>
      <c r="D1156" t="str">
        <f t="shared" si="37"/>
        <v>Raipur</v>
      </c>
      <c r="E1156" t="s">
        <v>40</v>
      </c>
      <c r="F1156">
        <v>0.1</v>
      </c>
    </row>
    <row r="1157" spans="1:6">
      <c r="A1157" s="1">
        <v>44805</v>
      </c>
      <c r="B1157" s="1" t="str">
        <f t="shared" si="36"/>
        <v>After 5G</v>
      </c>
      <c r="C1157">
        <v>400001</v>
      </c>
      <c r="D1157" t="str">
        <f t="shared" si="37"/>
        <v>Mumbai</v>
      </c>
      <c r="E1157" t="s">
        <v>36</v>
      </c>
      <c r="F1157">
        <v>7.36</v>
      </c>
    </row>
    <row r="1158" spans="1:6">
      <c r="A1158" s="1">
        <v>44805</v>
      </c>
      <c r="B1158" s="1" t="str">
        <f t="shared" si="36"/>
        <v>After 5G</v>
      </c>
      <c r="C1158">
        <v>400001</v>
      </c>
      <c r="D1158" t="str">
        <f t="shared" si="37"/>
        <v>Mumbai</v>
      </c>
      <c r="E1158" t="s">
        <v>38</v>
      </c>
      <c r="F1158">
        <v>4.51</v>
      </c>
    </row>
    <row r="1159" spans="1:6">
      <c r="A1159" s="1">
        <v>44805</v>
      </c>
      <c r="B1159" s="1" t="str">
        <f t="shared" si="36"/>
        <v>After 5G</v>
      </c>
      <c r="C1159">
        <v>400001</v>
      </c>
      <c r="D1159" t="str">
        <f t="shared" si="37"/>
        <v>Mumbai</v>
      </c>
      <c r="E1159" t="s">
        <v>40</v>
      </c>
      <c r="F1159">
        <v>1.19</v>
      </c>
    </row>
    <row r="1160" spans="1:6">
      <c r="A1160" s="1">
        <v>44805</v>
      </c>
      <c r="B1160" s="1" t="str">
        <f t="shared" si="36"/>
        <v>After 5G</v>
      </c>
      <c r="C1160">
        <v>110001</v>
      </c>
      <c r="D1160" t="str">
        <f t="shared" si="37"/>
        <v>Delhi</v>
      </c>
      <c r="E1160" t="s">
        <v>36</v>
      </c>
      <c r="F1160">
        <v>6.69</v>
      </c>
    </row>
    <row r="1161" spans="1:6">
      <c r="A1161" s="1">
        <v>44805</v>
      </c>
      <c r="B1161" s="1" t="str">
        <f t="shared" si="36"/>
        <v>After 5G</v>
      </c>
      <c r="C1161">
        <v>110001</v>
      </c>
      <c r="D1161" t="str">
        <f t="shared" si="37"/>
        <v>Delhi</v>
      </c>
      <c r="E1161" t="s">
        <v>38</v>
      </c>
      <c r="F1161">
        <v>3.85</v>
      </c>
    </row>
    <row r="1162" spans="1:6">
      <c r="A1162" s="1">
        <v>44805</v>
      </c>
      <c r="B1162" s="1" t="str">
        <f t="shared" si="36"/>
        <v>After 5G</v>
      </c>
      <c r="C1162">
        <v>110001</v>
      </c>
      <c r="D1162" t="str">
        <f t="shared" si="37"/>
        <v>Delhi</v>
      </c>
      <c r="E1162" t="s">
        <v>40</v>
      </c>
      <c r="F1162">
        <v>0.61</v>
      </c>
    </row>
    <row r="1163" spans="1:6">
      <c r="A1163" s="1">
        <v>44805</v>
      </c>
      <c r="B1163" s="1" t="str">
        <f t="shared" si="36"/>
        <v>After 5G</v>
      </c>
      <c r="C1163">
        <v>700001</v>
      </c>
      <c r="D1163" t="str">
        <f t="shared" si="37"/>
        <v>Kolkata</v>
      </c>
      <c r="E1163" t="s">
        <v>36</v>
      </c>
      <c r="F1163">
        <v>5.71</v>
      </c>
    </row>
    <row r="1164" spans="1:6">
      <c r="A1164" s="1">
        <v>44805</v>
      </c>
      <c r="B1164" s="1" t="str">
        <f t="shared" si="36"/>
        <v>After 5G</v>
      </c>
      <c r="C1164">
        <v>700001</v>
      </c>
      <c r="D1164" t="str">
        <f t="shared" si="37"/>
        <v>Kolkata</v>
      </c>
      <c r="E1164" t="s">
        <v>38</v>
      </c>
      <c r="F1164">
        <v>3.46</v>
      </c>
    </row>
    <row r="1165" spans="1:6">
      <c r="A1165" s="1">
        <v>44805</v>
      </c>
      <c r="B1165" s="1" t="str">
        <f t="shared" si="36"/>
        <v>After 5G</v>
      </c>
      <c r="C1165">
        <v>700001</v>
      </c>
      <c r="D1165" t="str">
        <f t="shared" si="37"/>
        <v>Kolkata</v>
      </c>
      <c r="E1165" t="s">
        <v>40</v>
      </c>
      <c r="F1165">
        <v>1.04</v>
      </c>
    </row>
    <row r="1166" spans="1:6">
      <c r="A1166" s="1">
        <v>44805</v>
      </c>
      <c r="B1166" s="1" t="str">
        <f t="shared" si="36"/>
        <v>After 5G</v>
      </c>
      <c r="C1166">
        <v>560001</v>
      </c>
      <c r="D1166" t="str">
        <f t="shared" si="37"/>
        <v>Bangalore</v>
      </c>
      <c r="E1166" t="s">
        <v>36</v>
      </c>
      <c r="F1166">
        <v>4.29</v>
      </c>
    </row>
    <row r="1167" spans="1:6">
      <c r="A1167" s="1">
        <v>44805</v>
      </c>
      <c r="B1167" s="1" t="str">
        <f t="shared" si="36"/>
        <v>After 5G</v>
      </c>
      <c r="C1167">
        <v>560001</v>
      </c>
      <c r="D1167" t="str">
        <f t="shared" si="37"/>
        <v>Bangalore</v>
      </c>
      <c r="E1167" t="s">
        <v>38</v>
      </c>
      <c r="F1167">
        <v>3.11</v>
      </c>
    </row>
    <row r="1168" spans="1:6">
      <c r="A1168" s="1">
        <v>44805</v>
      </c>
      <c r="B1168" s="1" t="str">
        <f t="shared" si="36"/>
        <v>After 5G</v>
      </c>
      <c r="C1168">
        <v>560001</v>
      </c>
      <c r="D1168" t="str">
        <f t="shared" si="37"/>
        <v>Bangalore</v>
      </c>
      <c r="E1168" t="s">
        <v>40</v>
      </c>
      <c r="F1168">
        <v>0.59</v>
      </c>
    </row>
    <row r="1169" spans="1:6">
      <c r="A1169" s="1">
        <v>44805</v>
      </c>
      <c r="B1169" s="1" t="str">
        <f t="shared" si="36"/>
        <v>After 5G</v>
      </c>
      <c r="C1169">
        <v>600001</v>
      </c>
      <c r="D1169" t="str">
        <f t="shared" si="37"/>
        <v>Chennai</v>
      </c>
      <c r="E1169" t="s">
        <v>36</v>
      </c>
      <c r="F1169">
        <v>3.62</v>
      </c>
    </row>
    <row r="1170" spans="1:6">
      <c r="A1170" s="1">
        <v>44805</v>
      </c>
      <c r="B1170" s="1" t="str">
        <f t="shared" si="36"/>
        <v>After 5G</v>
      </c>
      <c r="C1170">
        <v>600001</v>
      </c>
      <c r="D1170" t="str">
        <f t="shared" si="37"/>
        <v>Chennai</v>
      </c>
      <c r="E1170" t="s">
        <v>38</v>
      </c>
      <c r="F1170">
        <v>2.2599999999999998</v>
      </c>
    </row>
    <row r="1171" spans="1:6">
      <c r="A1171" s="1">
        <v>44805</v>
      </c>
      <c r="B1171" s="1" t="str">
        <f t="shared" si="36"/>
        <v>After 5G</v>
      </c>
      <c r="C1171">
        <v>600001</v>
      </c>
      <c r="D1171" t="str">
        <f t="shared" si="37"/>
        <v>Chennai</v>
      </c>
      <c r="E1171" t="s">
        <v>40</v>
      </c>
      <c r="F1171">
        <v>0.34</v>
      </c>
    </row>
    <row r="1172" spans="1:6">
      <c r="A1172" s="1">
        <v>44805</v>
      </c>
      <c r="B1172" s="1" t="str">
        <f t="shared" si="36"/>
        <v>After 5G</v>
      </c>
      <c r="C1172">
        <v>500001</v>
      </c>
      <c r="D1172" t="str">
        <f t="shared" si="37"/>
        <v>Hyderabad</v>
      </c>
      <c r="E1172" t="s">
        <v>36</v>
      </c>
      <c r="F1172">
        <v>2.9</v>
      </c>
    </row>
    <row r="1173" spans="1:6">
      <c r="A1173" s="1">
        <v>44805</v>
      </c>
      <c r="B1173" s="1" t="str">
        <f t="shared" si="36"/>
        <v>After 5G</v>
      </c>
      <c r="C1173">
        <v>500001</v>
      </c>
      <c r="D1173" t="str">
        <f t="shared" si="37"/>
        <v>Hyderabad</v>
      </c>
      <c r="E1173" t="s">
        <v>38</v>
      </c>
      <c r="F1173">
        <v>1.97</v>
      </c>
    </row>
    <row r="1174" spans="1:6">
      <c r="A1174" s="1">
        <v>44805</v>
      </c>
      <c r="B1174" s="1" t="str">
        <f t="shared" si="36"/>
        <v>After 5G</v>
      </c>
      <c r="C1174">
        <v>500001</v>
      </c>
      <c r="D1174" t="str">
        <f t="shared" si="37"/>
        <v>Hyderabad</v>
      </c>
      <c r="E1174" t="s">
        <v>40</v>
      </c>
      <c r="F1174">
        <v>0.75</v>
      </c>
    </row>
    <row r="1175" spans="1:6">
      <c r="A1175" s="1">
        <v>44805</v>
      </c>
      <c r="B1175" s="1" t="str">
        <f t="shared" si="36"/>
        <v>After 5G</v>
      </c>
      <c r="C1175">
        <v>411001</v>
      </c>
      <c r="D1175" t="str">
        <f t="shared" si="37"/>
        <v>Pune</v>
      </c>
      <c r="E1175" t="s">
        <v>36</v>
      </c>
      <c r="F1175">
        <v>6.16</v>
      </c>
    </row>
    <row r="1176" spans="1:6">
      <c r="A1176" s="1">
        <v>44805</v>
      </c>
      <c r="B1176" s="1" t="str">
        <f t="shared" si="36"/>
        <v>After 5G</v>
      </c>
      <c r="C1176">
        <v>411001</v>
      </c>
      <c r="D1176" t="str">
        <f t="shared" si="37"/>
        <v>Pune</v>
      </c>
      <c r="E1176" t="s">
        <v>38</v>
      </c>
      <c r="F1176">
        <v>3.62</v>
      </c>
    </row>
    <row r="1177" spans="1:6">
      <c r="A1177" s="1">
        <v>44805</v>
      </c>
      <c r="B1177" s="1" t="str">
        <f t="shared" si="36"/>
        <v>After 5G</v>
      </c>
      <c r="C1177">
        <v>411001</v>
      </c>
      <c r="D1177" t="str">
        <f t="shared" si="37"/>
        <v>Pune</v>
      </c>
      <c r="E1177" t="s">
        <v>40</v>
      </c>
      <c r="F1177">
        <v>1.27</v>
      </c>
    </row>
    <row r="1178" spans="1:6">
      <c r="A1178" s="1">
        <v>44805</v>
      </c>
      <c r="B1178" s="1" t="str">
        <f t="shared" si="36"/>
        <v>After 5G</v>
      </c>
      <c r="C1178">
        <v>380001</v>
      </c>
      <c r="D1178" t="str">
        <f t="shared" si="37"/>
        <v>Ahmedabad</v>
      </c>
      <c r="E1178" t="s">
        <v>36</v>
      </c>
      <c r="F1178">
        <v>2.78</v>
      </c>
    </row>
    <row r="1179" spans="1:6">
      <c r="A1179" s="1">
        <v>44805</v>
      </c>
      <c r="B1179" s="1" t="str">
        <f t="shared" si="36"/>
        <v>After 5G</v>
      </c>
      <c r="C1179">
        <v>380001</v>
      </c>
      <c r="D1179" t="str">
        <f t="shared" si="37"/>
        <v>Ahmedabad</v>
      </c>
      <c r="E1179" t="s">
        <v>38</v>
      </c>
      <c r="F1179">
        <v>1.56</v>
      </c>
    </row>
    <row r="1180" spans="1:6">
      <c r="A1180" s="1">
        <v>44805</v>
      </c>
      <c r="B1180" s="1" t="str">
        <f t="shared" si="36"/>
        <v>After 5G</v>
      </c>
      <c r="C1180">
        <v>380001</v>
      </c>
      <c r="D1180" t="str">
        <f t="shared" si="37"/>
        <v>Ahmedabad</v>
      </c>
      <c r="E1180" t="s">
        <v>40</v>
      </c>
      <c r="F1180">
        <v>0.69</v>
      </c>
    </row>
    <row r="1181" spans="1:6">
      <c r="A1181" s="1">
        <v>44805</v>
      </c>
      <c r="B1181" s="1" t="str">
        <f t="shared" si="36"/>
        <v>After 5G</v>
      </c>
      <c r="C1181">
        <v>302001</v>
      </c>
      <c r="D1181" t="str">
        <f t="shared" si="37"/>
        <v>Jaipur</v>
      </c>
      <c r="E1181" t="s">
        <v>36</v>
      </c>
      <c r="F1181">
        <v>2.06</v>
      </c>
    </row>
    <row r="1182" spans="1:6">
      <c r="A1182" s="1">
        <v>44805</v>
      </c>
      <c r="B1182" s="1" t="str">
        <f t="shared" si="36"/>
        <v>After 5G</v>
      </c>
      <c r="C1182">
        <v>302001</v>
      </c>
      <c r="D1182" t="str">
        <f t="shared" si="37"/>
        <v>Jaipur</v>
      </c>
      <c r="E1182" t="s">
        <v>38</v>
      </c>
      <c r="F1182">
        <v>1.35</v>
      </c>
    </row>
    <row r="1183" spans="1:6">
      <c r="A1183" s="1">
        <v>44805</v>
      </c>
      <c r="B1183" s="1" t="str">
        <f t="shared" si="36"/>
        <v>After 5G</v>
      </c>
      <c r="C1183">
        <v>302001</v>
      </c>
      <c r="D1183" t="str">
        <f t="shared" si="37"/>
        <v>Jaipur</v>
      </c>
      <c r="E1183" t="s">
        <v>40</v>
      </c>
      <c r="F1183">
        <v>0.19</v>
      </c>
    </row>
    <row r="1184" spans="1:6">
      <c r="A1184" s="1">
        <v>44805</v>
      </c>
      <c r="B1184" s="1" t="str">
        <f t="shared" si="36"/>
        <v>After 5G</v>
      </c>
      <c r="C1184">
        <v>226001</v>
      </c>
      <c r="D1184" t="str">
        <f t="shared" si="37"/>
        <v>Lucknow</v>
      </c>
      <c r="E1184" t="s">
        <v>36</v>
      </c>
      <c r="F1184">
        <v>1.66</v>
      </c>
    </row>
    <row r="1185" spans="1:6">
      <c r="A1185" s="1">
        <v>44805</v>
      </c>
      <c r="B1185" s="1" t="str">
        <f t="shared" si="36"/>
        <v>After 5G</v>
      </c>
      <c r="C1185">
        <v>226001</v>
      </c>
      <c r="D1185" t="str">
        <f t="shared" si="37"/>
        <v>Lucknow</v>
      </c>
      <c r="E1185" t="s">
        <v>38</v>
      </c>
      <c r="F1185">
        <v>1.0900000000000001</v>
      </c>
    </row>
    <row r="1186" spans="1:6">
      <c r="A1186" s="1">
        <v>44805</v>
      </c>
      <c r="B1186" s="1" t="str">
        <f t="shared" si="36"/>
        <v>After 5G</v>
      </c>
      <c r="C1186">
        <v>226001</v>
      </c>
      <c r="D1186" t="str">
        <f t="shared" si="37"/>
        <v>Lucknow</v>
      </c>
      <c r="E1186" t="s">
        <v>40</v>
      </c>
      <c r="F1186">
        <v>0.46</v>
      </c>
    </row>
    <row r="1187" spans="1:6">
      <c r="A1187" s="1">
        <v>44805</v>
      </c>
      <c r="B1187" s="1" t="str">
        <f t="shared" si="36"/>
        <v>After 5G</v>
      </c>
      <c r="C1187">
        <v>800008</v>
      </c>
      <c r="D1187" t="str">
        <f t="shared" si="37"/>
        <v>Patna</v>
      </c>
      <c r="E1187" t="s">
        <v>36</v>
      </c>
      <c r="F1187">
        <v>1.41</v>
      </c>
    </row>
    <row r="1188" spans="1:6">
      <c r="A1188" s="1">
        <v>44805</v>
      </c>
      <c r="B1188" s="1" t="str">
        <f t="shared" si="36"/>
        <v>After 5G</v>
      </c>
      <c r="C1188">
        <v>800008</v>
      </c>
      <c r="D1188" t="str">
        <f t="shared" si="37"/>
        <v>Patna</v>
      </c>
      <c r="E1188" t="s">
        <v>38</v>
      </c>
      <c r="F1188">
        <v>1.02</v>
      </c>
    </row>
    <row r="1189" spans="1:6">
      <c r="A1189" s="1">
        <v>44805</v>
      </c>
      <c r="B1189" s="1" t="str">
        <f t="shared" si="36"/>
        <v>After 5G</v>
      </c>
      <c r="C1189">
        <v>800008</v>
      </c>
      <c r="D1189" t="str">
        <f t="shared" si="37"/>
        <v>Patna</v>
      </c>
      <c r="E1189" t="s">
        <v>40</v>
      </c>
      <c r="F1189">
        <v>0.19</v>
      </c>
    </row>
    <row r="1190" spans="1:6">
      <c r="A1190" s="1">
        <v>44805</v>
      </c>
      <c r="B1190" s="1" t="str">
        <f t="shared" si="36"/>
        <v>After 5G</v>
      </c>
      <c r="C1190">
        <v>641001</v>
      </c>
      <c r="D1190" t="str">
        <f t="shared" si="37"/>
        <v>Coimbatore</v>
      </c>
      <c r="E1190" t="s">
        <v>36</v>
      </c>
      <c r="F1190">
        <v>1.1000000000000001</v>
      </c>
    </row>
    <row r="1191" spans="1:6">
      <c r="A1191" s="1">
        <v>44805</v>
      </c>
      <c r="B1191" s="1" t="str">
        <f t="shared" si="36"/>
        <v>After 5G</v>
      </c>
      <c r="C1191">
        <v>641001</v>
      </c>
      <c r="D1191" t="str">
        <f t="shared" si="37"/>
        <v>Coimbatore</v>
      </c>
      <c r="E1191" t="s">
        <v>38</v>
      </c>
      <c r="F1191">
        <v>0.71</v>
      </c>
    </row>
    <row r="1192" spans="1:6">
      <c r="A1192" s="1">
        <v>44805</v>
      </c>
      <c r="B1192" s="1" t="str">
        <f t="shared" si="36"/>
        <v>After 5G</v>
      </c>
      <c r="C1192">
        <v>641001</v>
      </c>
      <c r="D1192" t="str">
        <f t="shared" si="37"/>
        <v>Coimbatore</v>
      </c>
      <c r="E1192" t="s">
        <v>40</v>
      </c>
      <c r="F1192">
        <v>0.21</v>
      </c>
    </row>
    <row r="1193" spans="1:6">
      <c r="A1193" s="1">
        <v>44805</v>
      </c>
      <c r="B1193" s="1" t="str">
        <f t="shared" si="36"/>
        <v>After 5G</v>
      </c>
      <c r="C1193">
        <v>160017</v>
      </c>
      <c r="D1193" t="str">
        <f t="shared" si="37"/>
        <v>Chandigarh</v>
      </c>
      <c r="E1193" t="s">
        <v>36</v>
      </c>
      <c r="F1193">
        <v>1.1599999999999999</v>
      </c>
    </row>
    <row r="1194" spans="1:6">
      <c r="A1194" s="1">
        <v>44805</v>
      </c>
      <c r="B1194" s="1" t="str">
        <f t="shared" si="36"/>
        <v>After 5G</v>
      </c>
      <c r="C1194">
        <v>160017</v>
      </c>
      <c r="D1194" t="str">
        <f t="shared" si="37"/>
        <v>Chandigarh</v>
      </c>
      <c r="E1194" t="s">
        <v>38</v>
      </c>
      <c r="F1194">
        <v>0.77</v>
      </c>
    </row>
    <row r="1195" spans="1:6">
      <c r="A1195" s="1">
        <v>44805</v>
      </c>
      <c r="B1195" s="1" t="str">
        <f t="shared" si="36"/>
        <v>After 5G</v>
      </c>
      <c r="C1195">
        <v>160017</v>
      </c>
      <c r="D1195" t="str">
        <f t="shared" si="37"/>
        <v>Chandigarh</v>
      </c>
      <c r="E1195" t="s">
        <v>40</v>
      </c>
      <c r="F1195">
        <v>0.15</v>
      </c>
    </row>
    <row r="1196" spans="1:6">
      <c r="A1196" s="1">
        <v>44805</v>
      </c>
      <c r="B1196" s="1" t="str">
        <f t="shared" si="36"/>
        <v>After 5G</v>
      </c>
      <c r="C1196">
        <v>122001</v>
      </c>
      <c r="D1196" t="str">
        <f t="shared" si="37"/>
        <v>Gurgaon</v>
      </c>
      <c r="E1196" t="s">
        <v>36</v>
      </c>
      <c r="F1196">
        <v>0.78</v>
      </c>
    </row>
    <row r="1197" spans="1:6">
      <c r="A1197" s="1">
        <v>44805</v>
      </c>
      <c r="B1197" s="1" t="str">
        <f t="shared" si="36"/>
        <v>After 5G</v>
      </c>
      <c r="C1197">
        <v>122001</v>
      </c>
      <c r="D1197" t="str">
        <f t="shared" si="37"/>
        <v>Gurgaon</v>
      </c>
      <c r="E1197" t="s">
        <v>38</v>
      </c>
      <c r="F1197">
        <v>0.43</v>
      </c>
    </row>
    <row r="1198" spans="1:6">
      <c r="A1198" s="1">
        <v>44805</v>
      </c>
      <c r="B1198" s="1" t="str">
        <f t="shared" si="36"/>
        <v>After 5G</v>
      </c>
      <c r="C1198">
        <v>122001</v>
      </c>
      <c r="D1198" t="str">
        <f t="shared" si="37"/>
        <v>Gurgaon</v>
      </c>
      <c r="E1198" t="s">
        <v>40</v>
      </c>
      <c r="F1198">
        <v>0.09</v>
      </c>
    </row>
    <row r="1199" spans="1:6">
      <c r="A1199" s="1">
        <v>44805</v>
      </c>
      <c r="B1199" s="1" t="str">
        <f t="shared" si="36"/>
        <v>After 5G</v>
      </c>
      <c r="C1199">
        <v>492001</v>
      </c>
      <c r="D1199" t="str">
        <f t="shared" si="37"/>
        <v>Raipur</v>
      </c>
      <c r="E1199" t="s">
        <v>36</v>
      </c>
      <c r="F1199">
        <v>0.48</v>
      </c>
    </row>
    <row r="1200" spans="1:6">
      <c r="A1200" s="1">
        <v>44805</v>
      </c>
      <c r="B1200" s="1" t="str">
        <f t="shared" si="36"/>
        <v>After 5G</v>
      </c>
      <c r="C1200">
        <v>492001</v>
      </c>
      <c r="D1200" t="str">
        <f t="shared" si="37"/>
        <v>Raipur</v>
      </c>
      <c r="E1200" t="s">
        <v>38</v>
      </c>
      <c r="F1200">
        <v>0.28999999999999998</v>
      </c>
    </row>
    <row r="1201" spans="1:6">
      <c r="A1201" s="1">
        <v>44805</v>
      </c>
      <c r="B1201" s="1" t="str">
        <f t="shared" si="36"/>
        <v>After 5G</v>
      </c>
      <c r="C1201">
        <v>492001</v>
      </c>
      <c r="D1201" t="str">
        <f t="shared" si="37"/>
        <v>Raipur</v>
      </c>
      <c r="E1201" t="s">
        <v>40</v>
      </c>
      <c r="F1201">
        <v>0.08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16"/>
  <sheetViews>
    <sheetView workbookViewId="0">
      <selection activeCell="F22" sqref="F22"/>
    </sheetView>
  </sheetViews>
  <sheetFormatPr defaultRowHeight="15"/>
  <sheetData>
    <row r="1" spans="1:2">
      <c r="A1" t="s">
        <v>43</v>
      </c>
      <c r="B1" t="s">
        <v>58</v>
      </c>
    </row>
    <row r="2" spans="1:2">
      <c r="A2">
        <v>400001</v>
      </c>
      <c r="B2" t="s">
        <v>65</v>
      </c>
    </row>
    <row r="3" spans="1:2">
      <c r="A3">
        <v>110001</v>
      </c>
      <c r="B3" t="s">
        <v>67</v>
      </c>
    </row>
    <row r="4" spans="1:2">
      <c r="A4">
        <v>700001</v>
      </c>
      <c r="B4" t="s">
        <v>68</v>
      </c>
    </row>
    <row r="5" spans="1:2">
      <c r="A5">
        <v>560001</v>
      </c>
      <c r="B5" t="s">
        <v>69</v>
      </c>
    </row>
    <row r="6" spans="1:2">
      <c r="A6">
        <v>600001</v>
      </c>
      <c r="B6" t="s">
        <v>70</v>
      </c>
    </row>
    <row r="7" spans="1:2">
      <c r="A7">
        <v>500001</v>
      </c>
      <c r="B7" t="s">
        <v>71</v>
      </c>
    </row>
    <row r="8" spans="1:2">
      <c r="A8">
        <v>411001</v>
      </c>
      <c r="B8" t="s">
        <v>72</v>
      </c>
    </row>
    <row r="9" spans="1:2">
      <c r="A9">
        <v>380001</v>
      </c>
      <c r="B9" t="s">
        <v>73</v>
      </c>
    </row>
    <row r="10" spans="1:2">
      <c r="A10">
        <v>302001</v>
      </c>
      <c r="B10" t="s">
        <v>74</v>
      </c>
    </row>
    <row r="11" spans="1:2">
      <c r="A11">
        <v>226001</v>
      </c>
      <c r="B11" t="s">
        <v>75</v>
      </c>
    </row>
    <row r="12" spans="1:2">
      <c r="A12">
        <v>800008</v>
      </c>
      <c r="B12" t="s">
        <v>76</v>
      </c>
    </row>
    <row r="13" spans="1:2">
      <c r="A13">
        <v>641001</v>
      </c>
      <c r="B13" t="s">
        <v>77</v>
      </c>
    </row>
    <row r="14" spans="1:2">
      <c r="A14">
        <v>160017</v>
      </c>
      <c r="B14" t="s">
        <v>78</v>
      </c>
    </row>
    <row r="15" spans="1:2">
      <c r="A15">
        <v>122001</v>
      </c>
      <c r="B15" t="s">
        <v>79</v>
      </c>
    </row>
    <row r="16" spans="1:2">
      <c r="A16">
        <v>492001</v>
      </c>
      <c r="B16" t="s">
        <v>80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L174"/>
  <sheetViews>
    <sheetView topLeftCell="G162" workbookViewId="0">
      <selection activeCell="I165" sqref="I165"/>
    </sheetView>
  </sheetViews>
  <sheetFormatPr defaultRowHeight="15"/>
  <cols>
    <col min="1" max="1" width="14.28515625" customWidth="1"/>
    <col min="2" max="2" width="31.85546875" customWidth="1"/>
    <col min="3" max="3" width="11.7109375" customWidth="1"/>
    <col min="4" max="4" width="10" customWidth="1"/>
    <col min="5" max="5" width="9.5703125" customWidth="1"/>
    <col min="6" max="6" width="9.42578125" customWidth="1"/>
    <col min="7" max="7" width="8.85546875" customWidth="1"/>
    <col min="8" max="8" width="28.5703125" customWidth="1"/>
    <col min="9" max="9" width="14.28515625" customWidth="1"/>
    <col min="10" max="10" width="17.28515625" customWidth="1"/>
    <col min="11" max="11" width="32" customWidth="1"/>
    <col min="12" max="12" width="11.42578125" customWidth="1"/>
    <col min="13" max="13" width="11.28515625" customWidth="1"/>
    <col min="14" max="14" width="11.42578125" customWidth="1"/>
    <col min="15" max="15" width="5.7109375" customWidth="1"/>
    <col min="16" max="16" width="8.5703125" customWidth="1"/>
    <col min="17" max="17" width="10.5703125" customWidth="1"/>
    <col min="18" max="18" width="6.28515625" customWidth="1"/>
    <col min="19" max="19" width="7.5703125" customWidth="1"/>
    <col min="20" max="20" width="8.7109375" customWidth="1"/>
    <col min="21" max="21" width="8.42578125" customWidth="1"/>
    <col min="22" max="22" width="6" customWidth="1"/>
    <col min="23" max="23" width="5.5703125" customWidth="1"/>
    <col min="24" max="24" width="6.7109375" customWidth="1"/>
    <col min="25" max="25" width="11.28515625" bestFit="1" customWidth="1"/>
    <col min="26" max="26" width="14.85546875" bestFit="1" customWidth="1"/>
    <col min="27" max="27" width="12.85546875" bestFit="1" customWidth="1"/>
    <col min="28" max="28" width="9.7109375" bestFit="1" customWidth="1"/>
    <col min="29" max="29" width="10" bestFit="1" customWidth="1"/>
    <col min="30" max="30" width="9.5703125" bestFit="1" customWidth="1"/>
    <col min="31" max="31" width="9.42578125" bestFit="1" customWidth="1"/>
    <col min="32" max="32" width="8.85546875" customWidth="1"/>
    <col min="33" max="33" width="9.85546875" bestFit="1" customWidth="1"/>
    <col min="34" max="34" width="9.7109375" bestFit="1" customWidth="1"/>
    <col min="35" max="35" width="16" bestFit="1" customWidth="1"/>
    <col min="36" max="36" width="10.140625" bestFit="1" customWidth="1"/>
    <col min="37" max="37" width="9.7109375" bestFit="1" customWidth="1"/>
    <col min="38" max="38" width="10" bestFit="1" customWidth="1"/>
    <col min="39" max="39" width="9.5703125" bestFit="1" customWidth="1"/>
    <col min="40" max="40" width="9.42578125" bestFit="1" customWidth="1"/>
    <col min="41" max="41" width="8.85546875" customWidth="1"/>
    <col min="42" max="42" width="9.85546875" bestFit="1" customWidth="1"/>
    <col min="43" max="43" width="9.7109375" bestFit="1" customWidth="1"/>
    <col min="44" max="45" width="13.28515625" bestFit="1" customWidth="1"/>
    <col min="46" max="46" width="9.7109375" bestFit="1" customWidth="1"/>
    <col min="47" max="47" width="10" bestFit="1" customWidth="1"/>
    <col min="48" max="48" width="9.5703125" bestFit="1" customWidth="1"/>
    <col min="49" max="49" width="9.42578125" bestFit="1" customWidth="1"/>
    <col min="50" max="50" width="8.85546875" customWidth="1"/>
    <col min="51" max="51" width="9.85546875" bestFit="1" customWidth="1"/>
    <col min="52" max="52" width="9.7109375" bestFit="1" customWidth="1"/>
    <col min="53" max="53" width="16.42578125" bestFit="1" customWidth="1"/>
    <col min="54" max="54" width="9.28515625" bestFit="1" customWidth="1"/>
    <col min="55" max="55" width="9.7109375" bestFit="1" customWidth="1"/>
    <col min="56" max="56" width="10" bestFit="1" customWidth="1"/>
    <col min="57" max="57" width="9.5703125" bestFit="1" customWidth="1"/>
    <col min="58" max="58" width="9.42578125" bestFit="1" customWidth="1"/>
    <col min="59" max="59" width="8.85546875" customWidth="1"/>
    <col min="60" max="60" width="9.85546875" bestFit="1" customWidth="1"/>
    <col min="61" max="61" width="9.7109375" bestFit="1" customWidth="1"/>
    <col min="62" max="62" width="10.5703125" bestFit="1" customWidth="1"/>
    <col min="63" max="63" width="10.42578125" bestFit="1" customWidth="1"/>
    <col min="64" max="64" width="9.7109375" bestFit="1" customWidth="1"/>
    <col min="65" max="65" width="10" bestFit="1" customWidth="1"/>
    <col min="66" max="66" width="9.5703125" bestFit="1" customWidth="1"/>
    <col min="67" max="67" width="9.42578125" bestFit="1" customWidth="1"/>
    <col min="68" max="68" width="8.85546875" customWidth="1"/>
    <col min="69" max="69" width="9.85546875" bestFit="1" customWidth="1"/>
    <col min="70" max="70" width="9.7109375" bestFit="1" customWidth="1"/>
    <col min="71" max="71" width="13.5703125" bestFit="1" customWidth="1"/>
    <col min="72" max="72" width="12.42578125" bestFit="1" customWidth="1"/>
    <col min="73" max="73" width="9.7109375" bestFit="1" customWidth="1"/>
    <col min="74" max="74" width="10" bestFit="1" customWidth="1"/>
    <col min="75" max="75" width="9.5703125" bestFit="1" customWidth="1"/>
    <col min="76" max="76" width="9.42578125" bestFit="1" customWidth="1"/>
    <col min="77" max="77" width="8.85546875" customWidth="1"/>
    <col min="78" max="78" width="9.85546875" bestFit="1" customWidth="1"/>
    <col min="79" max="79" width="9.7109375" bestFit="1" customWidth="1"/>
    <col min="80" max="80" width="15.5703125" bestFit="1" customWidth="1"/>
    <col min="81" max="81" width="9.28515625" bestFit="1" customWidth="1"/>
    <col min="82" max="82" width="9.7109375" bestFit="1" customWidth="1"/>
    <col min="83" max="83" width="10" bestFit="1" customWidth="1"/>
    <col min="84" max="84" width="9.5703125" bestFit="1" customWidth="1"/>
    <col min="85" max="85" width="9.42578125" bestFit="1" customWidth="1"/>
    <col min="86" max="86" width="8.85546875" customWidth="1"/>
    <col min="87" max="87" width="9.85546875" bestFit="1" customWidth="1"/>
    <col min="88" max="88" width="9.7109375" bestFit="1" customWidth="1"/>
    <col min="89" max="89" width="11.140625" bestFit="1" customWidth="1"/>
    <col min="90" max="90" width="9.42578125" bestFit="1" customWidth="1"/>
    <col min="91" max="91" width="9.7109375" bestFit="1" customWidth="1"/>
    <col min="92" max="92" width="10" bestFit="1" customWidth="1"/>
    <col min="93" max="93" width="9.5703125" bestFit="1" customWidth="1"/>
    <col min="94" max="94" width="9.42578125" bestFit="1" customWidth="1"/>
    <col min="95" max="95" width="8.85546875" customWidth="1"/>
    <col min="96" max="96" width="9.85546875" bestFit="1" customWidth="1"/>
    <col min="97" max="97" width="9.7109375" bestFit="1" customWidth="1"/>
    <col min="98" max="98" width="12.42578125" bestFit="1" customWidth="1"/>
    <col min="99" max="99" width="10.5703125" bestFit="1" customWidth="1"/>
    <col min="100" max="100" width="9.7109375" bestFit="1" customWidth="1"/>
    <col min="101" max="101" width="10" bestFit="1" customWidth="1"/>
    <col min="102" max="102" width="9.5703125" bestFit="1" customWidth="1"/>
    <col min="103" max="103" width="9.42578125" bestFit="1" customWidth="1"/>
    <col min="104" max="104" width="8.85546875" customWidth="1"/>
    <col min="105" max="105" width="9.85546875" bestFit="1" customWidth="1"/>
    <col min="106" max="106" width="9.7109375" bestFit="1" customWidth="1"/>
    <col min="107" max="107" width="13.7109375" bestFit="1" customWidth="1"/>
    <col min="108" max="108" width="10.28515625" bestFit="1" customWidth="1"/>
    <col min="109" max="109" width="9.7109375" bestFit="1" customWidth="1"/>
    <col min="110" max="110" width="10" bestFit="1" customWidth="1"/>
    <col min="111" max="111" width="9.5703125" bestFit="1" customWidth="1"/>
    <col min="112" max="112" width="9.42578125" bestFit="1" customWidth="1"/>
    <col min="113" max="113" width="8.85546875" customWidth="1"/>
    <col min="114" max="114" width="9.85546875" bestFit="1" customWidth="1"/>
    <col min="115" max="115" width="9.7109375" bestFit="1" customWidth="1"/>
    <col min="116" max="116" width="13.42578125" bestFit="1" customWidth="1"/>
    <col min="117" max="117" width="9.28515625" bestFit="1" customWidth="1"/>
    <col min="118" max="118" width="9.7109375" bestFit="1" customWidth="1"/>
    <col min="119" max="119" width="10" bestFit="1" customWidth="1"/>
    <col min="120" max="120" width="9.5703125" bestFit="1" customWidth="1"/>
    <col min="121" max="121" width="9.42578125" bestFit="1" customWidth="1"/>
    <col min="122" max="122" width="8.85546875" customWidth="1"/>
    <col min="123" max="123" width="9.85546875" bestFit="1" customWidth="1"/>
    <col min="124" max="124" width="9.7109375" bestFit="1" customWidth="1"/>
    <col min="125" max="125" width="10.85546875" bestFit="1" customWidth="1"/>
    <col min="126" max="126" width="9.28515625" bestFit="1" customWidth="1"/>
    <col min="127" max="127" width="9.7109375" bestFit="1" customWidth="1"/>
    <col min="128" max="128" width="10" bestFit="1" customWidth="1"/>
    <col min="129" max="129" width="9.5703125" bestFit="1" customWidth="1"/>
    <col min="130" max="130" width="9.42578125" bestFit="1" customWidth="1"/>
    <col min="131" max="131" width="8.85546875" customWidth="1"/>
    <col min="132" max="132" width="9.85546875" bestFit="1" customWidth="1"/>
    <col min="133" max="133" width="9.7109375" bestFit="1" customWidth="1"/>
    <col min="134" max="134" width="10.42578125" bestFit="1" customWidth="1"/>
    <col min="135" max="135" width="9.28515625" bestFit="1" customWidth="1"/>
    <col min="136" max="136" width="9.7109375" bestFit="1" customWidth="1"/>
    <col min="137" max="137" width="10" bestFit="1" customWidth="1"/>
    <col min="138" max="138" width="9.5703125" bestFit="1" customWidth="1"/>
    <col min="139" max="139" width="9.42578125" bestFit="1" customWidth="1"/>
    <col min="140" max="140" width="8.85546875" customWidth="1"/>
    <col min="141" max="141" width="9.85546875" bestFit="1" customWidth="1"/>
    <col min="142" max="142" width="9.7109375" bestFit="1" customWidth="1"/>
    <col min="143" max="143" width="11.5703125" bestFit="1" customWidth="1"/>
    <col min="144" max="144" width="11.28515625" bestFit="1" customWidth="1"/>
  </cols>
  <sheetData>
    <row r="1" spans="1:12">
      <c r="A1" s="2" t="s">
        <v>42</v>
      </c>
      <c r="B1" t="s">
        <v>90</v>
      </c>
      <c r="K1" s="2" t="s">
        <v>0</v>
      </c>
      <c r="L1" s="6">
        <v>44805</v>
      </c>
    </row>
    <row r="2" spans="1:12">
      <c r="A2" s="2" t="s">
        <v>44</v>
      </c>
      <c r="B2" t="s">
        <v>70</v>
      </c>
      <c r="K2" s="2" t="s">
        <v>42</v>
      </c>
      <c r="L2" t="s">
        <v>90</v>
      </c>
    </row>
    <row r="4" spans="1:12">
      <c r="A4" s="2" t="s">
        <v>91</v>
      </c>
      <c r="B4" t="s">
        <v>92</v>
      </c>
      <c r="K4" s="2" t="s">
        <v>91</v>
      </c>
      <c r="L4" t="s">
        <v>93</v>
      </c>
    </row>
    <row r="5" spans="1:12">
      <c r="A5" s="6">
        <v>44805</v>
      </c>
      <c r="B5">
        <v>16.78</v>
      </c>
      <c r="K5" s="3" t="s">
        <v>70</v>
      </c>
      <c r="L5">
        <v>1.73</v>
      </c>
    </row>
    <row r="6" spans="1:12">
      <c r="A6" s="6" t="s">
        <v>94</v>
      </c>
      <c r="B6">
        <v>16.78</v>
      </c>
      <c r="K6" s="3" t="s">
        <v>94</v>
      </c>
      <c r="L6">
        <v>1.73</v>
      </c>
    </row>
    <row r="23" spans="11:12">
      <c r="K23" s="6"/>
    </row>
    <row r="24" spans="11:12">
      <c r="K24" s="4"/>
    </row>
    <row r="25" spans="11:12">
      <c r="K25" s="5"/>
    </row>
    <row r="26" spans="11:12">
      <c r="K26" s="2" t="s">
        <v>0</v>
      </c>
      <c r="L26" s="6">
        <v>44805</v>
      </c>
    </row>
    <row r="27" spans="11:12">
      <c r="K27" s="2" t="s">
        <v>42</v>
      </c>
      <c r="L27" t="s">
        <v>90</v>
      </c>
    </row>
    <row r="28" spans="11:12">
      <c r="K28" s="5"/>
    </row>
    <row r="29" spans="11:12">
      <c r="K29" s="2" t="s">
        <v>91</v>
      </c>
      <c r="L29" t="s">
        <v>95</v>
      </c>
    </row>
    <row r="30" spans="11:12">
      <c r="K30" s="3" t="s">
        <v>70</v>
      </c>
      <c r="L30">
        <v>188</v>
      </c>
    </row>
    <row r="31" spans="11:12">
      <c r="K31" s="3" t="s">
        <v>94</v>
      </c>
      <c r="L31">
        <v>188</v>
      </c>
    </row>
    <row r="48" spans="1:12">
      <c r="A48" s="2" t="s">
        <v>91</v>
      </c>
      <c r="B48" t="s">
        <v>93</v>
      </c>
      <c r="K48" s="2" t="s">
        <v>0</v>
      </c>
      <c r="L48" s="6">
        <v>44805</v>
      </c>
    </row>
    <row r="49" spans="1:12">
      <c r="A49" s="3" t="s">
        <v>70</v>
      </c>
      <c r="B49">
        <v>12.25</v>
      </c>
      <c r="K49" s="2" t="s">
        <v>42</v>
      </c>
      <c r="L49" t="s">
        <v>90</v>
      </c>
    </row>
    <row r="50" spans="1:12">
      <c r="A50" s="3" t="s">
        <v>94</v>
      </c>
      <c r="B50">
        <v>12.25</v>
      </c>
    </row>
    <row r="51" spans="1:12">
      <c r="K51" s="2" t="s">
        <v>91</v>
      </c>
      <c r="L51" t="s">
        <v>96</v>
      </c>
    </row>
    <row r="52" spans="1:12">
      <c r="K52" s="3" t="s">
        <v>70</v>
      </c>
      <c r="L52">
        <v>31.55</v>
      </c>
    </row>
    <row r="53" spans="1:12">
      <c r="K53" s="3" t="s">
        <v>94</v>
      </c>
      <c r="L53">
        <v>31.55</v>
      </c>
    </row>
    <row r="54" spans="1:12">
      <c r="A54" s="2" t="s">
        <v>91</v>
      </c>
      <c r="B54" t="s">
        <v>92</v>
      </c>
    </row>
    <row r="55" spans="1:12">
      <c r="A55" s="3" t="s">
        <v>70</v>
      </c>
      <c r="B55">
        <v>148.08000000000001</v>
      </c>
    </row>
    <row r="56" spans="1:12">
      <c r="A56" s="3" t="s">
        <v>94</v>
      </c>
      <c r="B56">
        <v>148.08000000000001</v>
      </c>
    </row>
    <row r="61" spans="1:12">
      <c r="A61" s="2" t="s">
        <v>91</v>
      </c>
      <c r="B61" t="s">
        <v>95</v>
      </c>
    </row>
    <row r="62" spans="1:12">
      <c r="A62" s="3" t="s">
        <v>70</v>
      </c>
      <c r="B62">
        <v>200.375</v>
      </c>
    </row>
    <row r="63" spans="1:12">
      <c r="A63" s="3" t="s">
        <v>94</v>
      </c>
      <c r="B63">
        <v>200.375</v>
      </c>
    </row>
    <row r="69" spans="11:12">
      <c r="K69" s="2" t="s">
        <v>44</v>
      </c>
      <c r="L69" t="s">
        <v>70</v>
      </c>
    </row>
    <row r="71" spans="11:12">
      <c r="K71" t="s">
        <v>97</v>
      </c>
    </row>
    <row r="72" spans="11:12">
      <c r="K72">
        <v>31.55</v>
      </c>
    </row>
    <row r="86" spans="1:3">
      <c r="A86" s="2" t="s">
        <v>42</v>
      </c>
      <c r="B86" t="s">
        <v>90</v>
      </c>
    </row>
    <row r="88" spans="1:3">
      <c r="A88" s="2" t="s">
        <v>92</v>
      </c>
      <c r="B88" s="2" t="s">
        <v>98</v>
      </c>
    </row>
    <row r="89" spans="1:3">
      <c r="A89" s="2" t="s">
        <v>91</v>
      </c>
      <c r="B89" s="1">
        <v>44805</v>
      </c>
      <c r="C89" s="1" t="s">
        <v>94</v>
      </c>
    </row>
    <row r="90" spans="1:3">
      <c r="A90" s="3" t="s">
        <v>70</v>
      </c>
      <c r="B90">
        <v>16.78</v>
      </c>
      <c r="C90">
        <v>16.78</v>
      </c>
    </row>
    <row r="91" spans="1:3">
      <c r="A91" s="3" t="s">
        <v>94</v>
      </c>
      <c r="B91">
        <v>16.78</v>
      </c>
      <c r="C91">
        <v>16.78</v>
      </c>
    </row>
    <row r="106" spans="1:3">
      <c r="A106" s="2" t="s">
        <v>42</v>
      </c>
      <c r="B106" t="s">
        <v>90</v>
      </c>
    </row>
    <row r="108" spans="1:3">
      <c r="A108" s="2" t="s">
        <v>93</v>
      </c>
      <c r="B108" s="2" t="s">
        <v>98</v>
      </c>
    </row>
    <row r="109" spans="1:3">
      <c r="A109" s="2" t="s">
        <v>91</v>
      </c>
      <c r="B109" s="1">
        <v>44805</v>
      </c>
      <c r="C109" s="1" t="s">
        <v>94</v>
      </c>
    </row>
    <row r="110" spans="1:3">
      <c r="A110" s="3" t="s">
        <v>70</v>
      </c>
      <c r="B110">
        <v>1.73</v>
      </c>
      <c r="C110">
        <v>1.73</v>
      </c>
    </row>
    <row r="111" spans="1:3">
      <c r="A111" s="3" t="s">
        <v>94</v>
      </c>
      <c r="B111">
        <v>1.73</v>
      </c>
      <c r="C111">
        <v>1.73</v>
      </c>
    </row>
    <row r="124" spans="1:10">
      <c r="A124" s="2" t="s">
        <v>42</v>
      </c>
      <c r="B124" t="s">
        <v>90</v>
      </c>
      <c r="H124" s="2" t="s">
        <v>42</v>
      </c>
      <c r="I124" t="s">
        <v>90</v>
      </c>
    </row>
    <row r="125" spans="1:10">
      <c r="A125" s="2" t="s">
        <v>44</v>
      </c>
      <c r="B125" t="s">
        <v>70</v>
      </c>
    </row>
    <row r="126" spans="1:10">
      <c r="H126" s="2" t="s">
        <v>96</v>
      </c>
      <c r="I126" s="2" t="s">
        <v>98</v>
      </c>
    </row>
    <row r="127" spans="1:10">
      <c r="A127" s="2" t="s">
        <v>91</v>
      </c>
      <c r="B127" t="s">
        <v>93</v>
      </c>
      <c r="H127" s="2" t="s">
        <v>91</v>
      </c>
      <c r="I127" t="s">
        <v>70</v>
      </c>
      <c r="J127" t="s">
        <v>94</v>
      </c>
    </row>
    <row r="128" spans="1:10">
      <c r="A128" s="6">
        <v>44805</v>
      </c>
      <c r="B128">
        <v>1.73</v>
      </c>
      <c r="H128" s="6">
        <v>44562</v>
      </c>
      <c r="I128">
        <v>30.8</v>
      </c>
      <c r="J128">
        <v>30.8</v>
      </c>
    </row>
    <row r="129" spans="1:10">
      <c r="A129" s="6" t="s">
        <v>94</v>
      </c>
      <c r="B129">
        <v>1.73</v>
      </c>
      <c r="H129" s="6">
        <v>44593</v>
      </c>
      <c r="I129">
        <v>55.9</v>
      </c>
      <c r="J129">
        <v>55.9</v>
      </c>
    </row>
    <row r="130" spans="1:10">
      <c r="H130" s="6">
        <v>44621</v>
      </c>
      <c r="I130">
        <v>30.5</v>
      </c>
      <c r="J130">
        <v>30.5</v>
      </c>
    </row>
    <row r="131" spans="1:10">
      <c r="H131" s="6">
        <v>44652</v>
      </c>
      <c r="I131">
        <v>32.93</v>
      </c>
      <c r="J131">
        <v>32.93</v>
      </c>
    </row>
    <row r="132" spans="1:10">
      <c r="H132" s="6">
        <v>44713</v>
      </c>
      <c r="I132">
        <v>30.55</v>
      </c>
      <c r="J132">
        <v>30.55</v>
      </c>
    </row>
    <row r="133" spans="1:10">
      <c r="H133" s="6">
        <v>44743</v>
      </c>
      <c r="I133">
        <v>53.87</v>
      </c>
      <c r="J133">
        <v>53.87</v>
      </c>
    </row>
    <row r="134" spans="1:10">
      <c r="H134" s="6">
        <v>44774</v>
      </c>
      <c r="I134">
        <v>30.27</v>
      </c>
      <c r="J134">
        <v>30.27</v>
      </c>
    </row>
    <row r="135" spans="1:10">
      <c r="H135" s="6">
        <v>44805</v>
      </c>
      <c r="I135">
        <v>31.55</v>
      </c>
      <c r="J135">
        <v>31.55</v>
      </c>
    </row>
    <row r="136" spans="1:10">
      <c r="H136" s="6" t="s">
        <v>94</v>
      </c>
      <c r="I136">
        <v>296.37</v>
      </c>
      <c r="J136">
        <v>296.37</v>
      </c>
    </row>
    <row r="162" spans="9:11">
      <c r="I162" s="2" t="s">
        <v>42</v>
      </c>
      <c r="J162" t="s">
        <v>90</v>
      </c>
    </row>
    <row r="164" spans="9:11">
      <c r="I164" s="2" t="s">
        <v>99</v>
      </c>
      <c r="J164" s="2" t="s">
        <v>98</v>
      </c>
    </row>
    <row r="165" spans="9:11">
      <c r="I165" s="2" t="s">
        <v>91</v>
      </c>
      <c r="J165" t="s">
        <v>70</v>
      </c>
      <c r="K165" t="s">
        <v>94</v>
      </c>
    </row>
    <row r="166" spans="9:11">
      <c r="I166" s="6">
        <v>44562</v>
      </c>
      <c r="J166">
        <v>203</v>
      </c>
      <c r="K166">
        <v>203</v>
      </c>
    </row>
    <row r="167" spans="9:11">
      <c r="I167" s="6">
        <v>44593</v>
      </c>
      <c r="J167">
        <v>206</v>
      </c>
      <c r="K167">
        <v>206</v>
      </c>
    </row>
    <row r="168" spans="9:11">
      <c r="I168" s="6">
        <v>44621</v>
      </c>
      <c r="J168">
        <v>211</v>
      </c>
      <c r="K168">
        <v>211</v>
      </c>
    </row>
    <row r="169" spans="9:11">
      <c r="I169" s="6">
        <v>44652</v>
      </c>
      <c r="J169">
        <v>192</v>
      </c>
      <c r="K169">
        <v>192</v>
      </c>
    </row>
    <row r="170" spans="9:11">
      <c r="I170" s="6">
        <v>44713</v>
      </c>
      <c r="J170">
        <v>198</v>
      </c>
      <c r="K170">
        <v>198</v>
      </c>
    </row>
    <row r="171" spans="9:11">
      <c r="I171" s="6">
        <v>44743</v>
      </c>
      <c r="J171">
        <v>196</v>
      </c>
      <c r="K171">
        <v>196</v>
      </c>
    </row>
    <row r="172" spans="9:11">
      <c r="I172" s="6">
        <v>44774</v>
      </c>
      <c r="J172">
        <v>209</v>
      </c>
      <c r="K172">
        <v>209</v>
      </c>
    </row>
    <row r="173" spans="9:11">
      <c r="I173" s="6">
        <v>44805</v>
      </c>
      <c r="J173">
        <v>188</v>
      </c>
      <c r="K173">
        <v>188</v>
      </c>
    </row>
    <row r="174" spans="9:11">
      <c r="I174" s="6" t="s">
        <v>94</v>
      </c>
      <c r="J174">
        <v>1603</v>
      </c>
      <c r="K174">
        <v>1603</v>
      </c>
    </row>
  </sheetData>
  <pageMargins left="0.7" right="0.7" top="0.75" bottom="0.75" header="0.3" footer="0.3"/>
  <drawing r:id="rId14"/>
  <extLst>
    <ext xmlns:x14="http://schemas.microsoft.com/office/spreadsheetml/2009/9/main" uri="{A8765BA9-456A-4dab-B4F3-ACF838C121DE}">
      <x14:slicerList>
        <x14:slicer r:id="rId15"/>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C29"/>
  <sheetViews>
    <sheetView workbookViewId="0">
      <selection activeCell="L22" sqref="L22"/>
    </sheetView>
  </sheetViews>
  <sheetFormatPr defaultRowHeight="15"/>
  <cols>
    <col min="1" max="1" width="13.140625" customWidth="1"/>
    <col min="2" max="2" width="22" customWidth="1"/>
    <col min="3" max="3" width="11.28515625" customWidth="1"/>
    <col min="4" max="4" width="11" customWidth="1"/>
    <col min="5" max="5" width="8.28515625" customWidth="1"/>
    <col min="6" max="6" width="11.42578125" customWidth="1"/>
    <col min="7" max="7" width="7" customWidth="1"/>
    <col min="8" max="8" width="8.5703125" customWidth="1"/>
    <col min="9" max="9" width="10.5703125" customWidth="1"/>
    <col min="10" max="10" width="7" customWidth="1"/>
    <col min="11" max="11" width="7.5703125" customWidth="1"/>
    <col min="12" max="12" width="8.7109375" customWidth="1"/>
    <col min="13" max="13" width="8.42578125" customWidth="1"/>
    <col min="14" max="16" width="7" customWidth="1"/>
    <col min="17" max="17" width="11.28515625" customWidth="1"/>
    <col min="18" max="18" width="11.28515625" bestFit="1" customWidth="1"/>
  </cols>
  <sheetData>
    <row r="1" spans="1:3">
      <c r="A1" s="2" t="s">
        <v>81</v>
      </c>
      <c r="B1" t="s">
        <v>90</v>
      </c>
    </row>
    <row r="2" spans="1:3">
      <c r="A2" s="2" t="s">
        <v>0</v>
      </c>
      <c r="B2" t="s">
        <v>90</v>
      </c>
    </row>
    <row r="4" spans="1:3">
      <c r="A4" s="2" t="s">
        <v>100</v>
      </c>
      <c r="B4" s="2" t="s">
        <v>98</v>
      </c>
    </row>
    <row r="5" spans="1:3">
      <c r="A5" s="2" t="s">
        <v>91</v>
      </c>
      <c r="B5" t="s">
        <v>71</v>
      </c>
      <c r="C5" t="s">
        <v>94</v>
      </c>
    </row>
    <row r="6" spans="1:3">
      <c r="A6" s="3" t="s">
        <v>66</v>
      </c>
      <c r="B6">
        <v>141.75</v>
      </c>
      <c r="C6">
        <v>141.75</v>
      </c>
    </row>
    <row r="7" spans="1:3">
      <c r="A7" s="3" t="s">
        <v>84</v>
      </c>
      <c r="B7">
        <v>233.41</v>
      </c>
      <c r="C7">
        <v>233.41</v>
      </c>
    </row>
    <row r="8" spans="1:3">
      <c r="A8" s="3" t="s">
        <v>86</v>
      </c>
      <c r="B8">
        <v>82.26</v>
      </c>
      <c r="C8">
        <v>82.26</v>
      </c>
    </row>
    <row r="9" spans="1:3">
      <c r="A9" s="3" t="s">
        <v>87</v>
      </c>
      <c r="B9">
        <v>58.690000000000005</v>
      </c>
      <c r="C9">
        <v>58.690000000000005</v>
      </c>
    </row>
    <row r="10" spans="1:3">
      <c r="A10" s="3" t="s">
        <v>85</v>
      </c>
      <c r="B10">
        <v>283.89</v>
      </c>
      <c r="C10">
        <v>283.89</v>
      </c>
    </row>
    <row r="11" spans="1:3">
      <c r="A11" s="3" t="s">
        <v>94</v>
      </c>
      <c r="B11">
        <v>800</v>
      </c>
      <c r="C11">
        <v>800</v>
      </c>
    </row>
    <row r="25" spans="1:2">
      <c r="A25" s="2" t="s">
        <v>0</v>
      </c>
      <c r="B25" t="s">
        <v>90</v>
      </c>
    </row>
    <row r="27" spans="1:2">
      <c r="A27" s="2" t="s">
        <v>91</v>
      </c>
      <c r="B27" t="s">
        <v>101</v>
      </c>
    </row>
    <row r="28" spans="1:2">
      <c r="A28" s="3" t="s">
        <v>71</v>
      </c>
      <c r="B28">
        <v>6662.9000000000005</v>
      </c>
    </row>
    <row r="29" spans="1:2">
      <c r="A29" s="3" t="s">
        <v>94</v>
      </c>
      <c r="B29">
        <v>6662.9000000000005</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2:S17"/>
  <sheetViews>
    <sheetView workbookViewId="0">
      <selection activeCell="E20" sqref="E20"/>
    </sheetView>
  </sheetViews>
  <sheetFormatPr defaultRowHeight="15"/>
  <cols>
    <col min="1" max="1" width="26.85546875" customWidth="1"/>
    <col min="2" max="2" width="16.28515625" customWidth="1"/>
    <col min="3" max="3" width="11.28515625" customWidth="1"/>
    <col min="4" max="4" width="11" customWidth="1"/>
    <col min="5" max="5" width="8.28515625" customWidth="1"/>
    <col min="6" max="6" width="11.42578125" customWidth="1"/>
    <col min="7" max="7" width="7" bestFit="1" customWidth="1"/>
    <col min="8" max="8" width="8.5703125" customWidth="1"/>
    <col min="9" max="9" width="10.5703125" customWidth="1"/>
    <col min="10" max="10" width="6.28515625" customWidth="1"/>
    <col min="11" max="11" width="7.5703125" customWidth="1"/>
    <col min="12" max="12" width="8.7109375" customWidth="1"/>
    <col min="13" max="13" width="8.42578125" customWidth="1"/>
    <col min="14" max="15" width="6" customWidth="1"/>
    <col min="16" max="16" width="6.7109375" customWidth="1"/>
    <col min="17" max="17" width="11.28515625" bestFit="1" customWidth="1"/>
  </cols>
  <sheetData>
    <row r="2" spans="1:19">
      <c r="A2" s="2" t="s">
        <v>81</v>
      </c>
      <c r="B2" t="s">
        <v>5</v>
      </c>
    </row>
    <row r="3" spans="1:19">
      <c r="A3" s="2" t="s">
        <v>0</v>
      </c>
      <c r="B3" s="6">
        <v>44652</v>
      </c>
    </row>
    <row r="5" spans="1:19">
      <c r="A5" s="2" t="s">
        <v>102</v>
      </c>
      <c r="B5" s="2" t="s">
        <v>98</v>
      </c>
    </row>
    <row r="6" spans="1:19">
      <c r="A6" s="2" t="s">
        <v>91</v>
      </c>
      <c r="B6" t="s">
        <v>67</v>
      </c>
      <c r="C6" t="s">
        <v>94</v>
      </c>
    </row>
    <row r="7" spans="1:19">
      <c r="A7" s="3" t="s">
        <v>16</v>
      </c>
      <c r="B7">
        <v>4.66</v>
      </c>
      <c r="C7">
        <v>4.66</v>
      </c>
      <c r="R7">
        <v>1</v>
      </c>
      <c r="S7" s="7" t="s">
        <v>103</v>
      </c>
    </row>
    <row r="8" spans="1:19">
      <c r="A8" s="3" t="s">
        <v>34</v>
      </c>
      <c r="B8">
        <v>0.41</v>
      </c>
      <c r="C8">
        <v>0.41</v>
      </c>
      <c r="R8">
        <v>2</v>
      </c>
    </row>
    <row r="9" spans="1:19">
      <c r="A9" s="3" t="s">
        <v>18</v>
      </c>
      <c r="B9">
        <v>3.83</v>
      </c>
      <c r="C9">
        <v>3.83</v>
      </c>
      <c r="R9">
        <v>3</v>
      </c>
    </row>
    <row r="10" spans="1:19">
      <c r="A10" s="3" t="s">
        <v>20</v>
      </c>
      <c r="B10">
        <v>3.15</v>
      </c>
      <c r="C10">
        <v>3.15</v>
      </c>
      <c r="R10">
        <v>4</v>
      </c>
    </row>
    <row r="11" spans="1:19">
      <c r="A11" s="3" t="s">
        <v>22</v>
      </c>
      <c r="B11">
        <v>3.15</v>
      </c>
      <c r="C11">
        <v>3.15</v>
      </c>
      <c r="R11">
        <v>5</v>
      </c>
    </row>
    <row r="12" spans="1:19">
      <c r="A12" s="3" t="s">
        <v>24</v>
      </c>
      <c r="B12">
        <v>2.6</v>
      </c>
      <c r="C12">
        <v>2.6</v>
      </c>
    </row>
    <row r="13" spans="1:19">
      <c r="A13" s="3" t="s">
        <v>26</v>
      </c>
      <c r="B13">
        <v>1.64</v>
      </c>
      <c r="C13">
        <v>1.64</v>
      </c>
    </row>
    <row r="14" spans="1:19">
      <c r="A14" s="3" t="s">
        <v>28</v>
      </c>
      <c r="B14">
        <v>1.51</v>
      </c>
      <c r="C14">
        <v>1.51</v>
      </c>
    </row>
    <row r="15" spans="1:19">
      <c r="A15" s="3" t="s">
        <v>30</v>
      </c>
      <c r="B15">
        <v>1.23</v>
      </c>
      <c r="C15">
        <v>1.23</v>
      </c>
    </row>
    <row r="16" spans="1:19">
      <c r="A16" s="3" t="s">
        <v>32</v>
      </c>
      <c r="B16">
        <v>0.55000000000000004</v>
      </c>
      <c r="C16">
        <v>0.55000000000000004</v>
      </c>
    </row>
    <row r="17" spans="1:3">
      <c r="A17" s="3" t="s">
        <v>94</v>
      </c>
      <c r="B17">
        <v>22.730000000000004</v>
      </c>
      <c r="C17">
        <v>22.730000000000004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3:AB39"/>
  <sheetViews>
    <sheetView topLeftCell="A3" zoomScale="83" zoomScaleNormal="83" workbookViewId="0"/>
  </sheetViews>
  <sheetFormatPr defaultColWidth="0" defaultRowHeight="15" zeroHeight="1"/>
  <cols>
    <col min="1" max="15" width="9.140625" style="8" customWidth="1"/>
    <col min="16" max="16" width="10.28515625" style="8" customWidth="1"/>
    <col min="17" max="28" width="9.140625" style="8" customWidth="1"/>
    <col min="29" max="16384" width="9.140625" style="8" hidden="1"/>
  </cols>
  <sheetData>
    <row r="3" spans="6:20"/>
    <row r="4" spans="6:20"/>
    <row r="5" spans="6:20"/>
    <row r="6" spans="6:20"/>
    <row r="7" spans="6:20" ht="15.75" thickBot="1"/>
    <row r="8" spans="6:20">
      <c r="F8" s="27" t="s">
        <v>104</v>
      </c>
      <c r="G8" s="28"/>
      <c r="H8" s="9"/>
      <c r="I8" s="10" t="s">
        <v>105</v>
      </c>
      <c r="J8" s="11"/>
      <c r="K8" s="11"/>
      <c r="L8" s="12"/>
      <c r="M8" s="9"/>
      <c r="N8" s="10" t="s">
        <v>106</v>
      </c>
      <c r="O8" s="11"/>
      <c r="P8" s="12"/>
      <c r="Q8" s="9"/>
      <c r="R8" s="10" t="s">
        <v>107</v>
      </c>
      <c r="S8" s="11"/>
      <c r="T8" s="12"/>
    </row>
    <row r="9" spans="6:20" ht="15.75" thickBot="1">
      <c r="F9" s="13">
        <f>Sheet7!$L$30</f>
        <v>188</v>
      </c>
      <c r="G9" s="14"/>
      <c r="H9" s="9"/>
      <c r="I9" s="13"/>
      <c r="J9" s="15">
        <f>Sheet7!$B$49</f>
        <v>12.25</v>
      </c>
      <c r="K9" s="15"/>
      <c r="L9" s="14"/>
      <c r="M9" s="9"/>
      <c r="N9" s="13"/>
      <c r="O9" s="15">
        <f>Sheet7!$B$55</f>
        <v>148.08000000000001</v>
      </c>
      <c r="P9" s="14"/>
      <c r="Q9" s="9"/>
      <c r="R9" s="13"/>
      <c r="S9" s="15">
        <f>Sheet7!$L$52</f>
        <v>31.55</v>
      </c>
      <c r="T9" s="14"/>
    </row>
    <row r="10" spans="6:20"/>
    <row r="11" spans="6:20"/>
    <row r="12" spans="6:20"/>
    <row r="13" spans="6:20"/>
    <row r="14" spans="6:20"/>
    <row r="15" spans="6:20"/>
    <row r="16" spans="6:20"/>
    <row r="17"/>
    <row r="18"/>
    <row r="19"/>
    <row r="20"/>
    <row r="21"/>
    <row r="22"/>
    <row r="23"/>
    <row r="24"/>
    <row r="25"/>
    <row r="26"/>
    <row r="27"/>
    <row r="28"/>
    <row r="29"/>
    <row r="30"/>
    <row r="31"/>
    <row r="32"/>
    <row r="33"/>
    <row r="34"/>
    <row r="35"/>
    <row r="36"/>
    <row r="37"/>
    <row r="38"/>
    <row r="39"/>
  </sheetData>
  <mergeCells count="1">
    <mergeCell ref="F8:G8"/>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2:A31"/>
  <sheetViews>
    <sheetView topLeftCell="A2" workbookViewId="0"/>
  </sheetViews>
  <sheetFormatPr defaultRowHeight="15" zeroHeight="1"/>
  <cols>
    <col min="1" max="16384" width="9.140625" style="8"/>
  </cols>
  <sheetData>
    <row r="2"/>
    <row r="3"/>
    <row r="4"/>
    <row r="5"/>
    <row r="6"/>
    <row r="7"/>
    <row r="8"/>
    <row r="9"/>
    <row r="10"/>
    <row r="11"/>
    <row r="12"/>
    <row r="13"/>
    <row r="14"/>
    <row r="15"/>
    <row r="16"/>
    <row r="17"/>
    <row r="18"/>
    <row r="19"/>
    <row r="20"/>
    <row r="21"/>
    <row r="22"/>
    <row r="23"/>
    <row r="24"/>
    <row r="25"/>
    <row r="26"/>
    <row r="27"/>
    <row r="28"/>
    <row r="29"/>
    <row r="30"/>
    <row r="31"/>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FF41"/>
  <sheetViews>
    <sheetView tabSelected="1" topLeftCell="A2" zoomScaleNormal="100" workbookViewId="0">
      <selection activeCell="L6" sqref="L6"/>
    </sheetView>
  </sheetViews>
  <sheetFormatPr defaultColWidth="0" defaultRowHeight="15" zeroHeight="1"/>
  <cols>
    <col min="1" max="20" width="9.140625" style="8" customWidth="1"/>
    <col min="21" max="21" width="0" style="8" hidden="1" customWidth="1"/>
    <col min="22" max="22" width="26.85546875" style="8" hidden="1" customWidth="1"/>
    <col min="23" max="23" width="16.28515625" style="8" hidden="1" customWidth="1"/>
    <col min="24" max="25" width="11.28515625" style="8" hidden="1" customWidth="1"/>
    <col min="26" max="26" width="26.85546875" style="8" hidden="1" customWidth="1"/>
    <col min="27" max="27" width="16.28515625" style="8" hidden="1" customWidth="1"/>
    <col min="28" max="28" width="11.28515625" style="8" hidden="1" customWidth="1"/>
    <col min="29" max="39" width="5" style="8" hidden="1" customWidth="1"/>
    <col min="40" max="40" width="11.28515625" style="8" hidden="1" customWidth="1"/>
    <col min="41" max="41" width="6.7109375" style="8" hidden="1" customWidth="1"/>
    <col min="42" max="42" width="14.28515625" style="8" hidden="1" customWidth="1"/>
    <col min="43" max="43" width="11.7109375" style="8" hidden="1" customWidth="1"/>
    <col min="44" max="44" width="9.85546875" style="8" hidden="1" customWidth="1"/>
    <col min="45" max="45" width="11" style="8" hidden="1" customWidth="1"/>
    <col min="46" max="46" width="8.28515625" style="8" hidden="1" customWidth="1"/>
    <col min="47" max="47" width="11.42578125" style="8" hidden="1" customWidth="1"/>
    <col min="48" max="48" width="5.7109375" style="8" hidden="1" customWidth="1"/>
    <col min="49" max="49" width="8.5703125" style="8" hidden="1" customWidth="1"/>
    <col min="50" max="50" width="10.5703125" style="8" hidden="1" customWidth="1"/>
    <col min="51" max="51" width="6.28515625" style="8" hidden="1" customWidth="1"/>
    <col min="52" max="52" width="7.5703125" style="8" hidden="1" customWidth="1"/>
    <col min="53" max="53" width="8.7109375" style="8" hidden="1" customWidth="1"/>
    <col min="54" max="54" width="8.42578125" style="8" hidden="1" customWidth="1"/>
    <col min="55" max="56" width="6" style="8" hidden="1" customWidth="1"/>
    <col min="57" max="57" width="6.7109375" style="8" hidden="1" customWidth="1"/>
    <col min="58" max="58" width="14.7109375" style="8" hidden="1" customWidth="1"/>
    <col min="59" max="59" width="11.85546875" style="8" hidden="1" customWidth="1"/>
    <col min="60" max="60" width="9.85546875" style="8" hidden="1" customWidth="1"/>
    <col min="61" max="61" width="11" style="8" hidden="1" customWidth="1"/>
    <col min="62" max="62" width="8.28515625" style="8" hidden="1" customWidth="1"/>
    <col min="63" max="63" width="11.42578125" style="8" hidden="1" customWidth="1"/>
    <col min="64" max="64" width="6" style="8" hidden="1" customWidth="1"/>
    <col min="65" max="65" width="8.5703125" style="8" hidden="1" customWidth="1"/>
    <col min="66" max="66" width="10.5703125" style="8" hidden="1" customWidth="1"/>
    <col min="67" max="67" width="6.28515625" style="8" hidden="1" customWidth="1"/>
    <col min="68" max="68" width="7.5703125" style="8" hidden="1" customWidth="1"/>
    <col min="69" max="69" width="8.7109375" style="8" hidden="1" customWidth="1"/>
    <col min="70" max="70" width="8.42578125" style="8" hidden="1" customWidth="1"/>
    <col min="71" max="72" width="6" style="8" hidden="1" customWidth="1"/>
    <col min="73" max="73" width="6.7109375" style="8" hidden="1" customWidth="1"/>
    <col min="74" max="74" width="15" style="8" hidden="1" customWidth="1"/>
    <col min="75" max="75" width="11.7109375" style="8" hidden="1" customWidth="1"/>
    <col min="76" max="76" width="9.85546875" style="8" hidden="1" customWidth="1"/>
    <col min="77" max="77" width="11" style="8" hidden="1" customWidth="1"/>
    <col min="78" max="78" width="8.28515625" style="8" hidden="1" customWidth="1"/>
    <col min="79" max="79" width="11.42578125" style="8" hidden="1" customWidth="1"/>
    <col min="80" max="80" width="6" style="8" hidden="1" customWidth="1"/>
    <col min="81" max="81" width="8.5703125" style="8" hidden="1" customWidth="1"/>
    <col min="82" max="82" width="10.5703125" style="8" hidden="1" customWidth="1"/>
    <col min="83" max="83" width="6.28515625" style="8" hidden="1" customWidth="1"/>
    <col min="84" max="84" width="7.5703125" style="8" hidden="1" customWidth="1"/>
    <col min="85" max="85" width="8.7109375" style="8" hidden="1" customWidth="1"/>
    <col min="86" max="86" width="8.42578125" style="8" hidden="1" customWidth="1"/>
    <col min="87" max="88" width="6" style="8" hidden="1" customWidth="1"/>
    <col min="89" max="89" width="6.7109375" style="8" hidden="1" customWidth="1"/>
    <col min="90" max="90" width="14.5703125" style="8" hidden="1" customWidth="1"/>
    <col min="91" max="91" width="11.28515625" style="8" hidden="1" customWidth="1"/>
    <col min="92" max="92" width="10" style="8" hidden="1" customWidth="1"/>
    <col min="93" max="93" width="9.5703125" style="8" hidden="1" customWidth="1"/>
    <col min="94" max="94" width="9.42578125" style="8" hidden="1" customWidth="1"/>
    <col min="95" max="95" width="8.85546875" style="8" hidden="1" customWidth="1"/>
    <col min="96" max="96" width="9.85546875" style="8" hidden="1" customWidth="1"/>
    <col min="97" max="97" width="9.7109375" style="8" hidden="1" customWidth="1"/>
    <col min="98" max="98" width="15.5703125" style="8" hidden="1" customWidth="1"/>
    <col min="99" max="99" width="9.28515625" style="8" hidden="1" customWidth="1"/>
    <col min="100" max="100" width="9.7109375" style="8" hidden="1" customWidth="1"/>
    <col min="101" max="101" width="10" style="8" hidden="1" customWidth="1"/>
    <col min="102" max="102" width="9.5703125" style="8" hidden="1" customWidth="1"/>
    <col min="103" max="103" width="9.42578125" style="8" hidden="1" customWidth="1"/>
    <col min="104" max="104" width="8.85546875" style="8" hidden="1" customWidth="1"/>
    <col min="105" max="105" width="9.85546875" style="8" hidden="1" customWidth="1"/>
    <col min="106" max="106" width="9.7109375" style="8" hidden="1" customWidth="1"/>
    <col min="107" max="107" width="11.140625" style="8" hidden="1" customWidth="1"/>
    <col min="108" max="108" width="9.42578125" style="8" hidden="1" customWidth="1"/>
    <col min="109" max="109" width="9.7109375" style="8" hidden="1" customWidth="1"/>
    <col min="110" max="110" width="10" style="8" hidden="1" customWidth="1"/>
    <col min="111" max="111" width="9.5703125" style="8" hidden="1" customWidth="1"/>
    <col min="112" max="112" width="9.42578125" style="8" hidden="1" customWidth="1"/>
    <col min="113" max="113" width="8.85546875" style="8" hidden="1" customWidth="1"/>
    <col min="114" max="114" width="9.85546875" style="8" hidden="1" customWidth="1"/>
    <col min="115" max="115" width="9.7109375" style="8" hidden="1" customWidth="1"/>
    <col min="116" max="116" width="12.42578125" style="8" hidden="1" customWidth="1"/>
    <col min="117" max="117" width="10.5703125" style="8" hidden="1" customWidth="1"/>
    <col min="118" max="118" width="9.7109375" style="8" hidden="1" customWidth="1"/>
    <col min="119" max="119" width="10" style="8" hidden="1" customWidth="1"/>
    <col min="120" max="120" width="9.5703125" style="8" hidden="1" customWidth="1"/>
    <col min="121" max="121" width="9.42578125" style="8" hidden="1" customWidth="1"/>
    <col min="122" max="122" width="8.85546875" style="8" hidden="1" customWidth="1"/>
    <col min="123" max="123" width="9.85546875" style="8" hidden="1" customWidth="1"/>
    <col min="124" max="124" width="9.7109375" style="8" hidden="1" customWidth="1"/>
    <col min="125" max="125" width="13.7109375" style="8" hidden="1" customWidth="1"/>
    <col min="126" max="126" width="10.28515625" style="8" hidden="1" customWidth="1"/>
    <col min="127" max="127" width="9.7109375" style="8" hidden="1" customWidth="1"/>
    <col min="128" max="128" width="10" style="8" hidden="1" customWidth="1"/>
    <col min="129" max="129" width="9.5703125" style="8" hidden="1" customWidth="1"/>
    <col min="130" max="130" width="9.42578125" style="8" hidden="1" customWidth="1"/>
    <col min="131" max="131" width="8.85546875" style="8" hidden="1" customWidth="1"/>
    <col min="132" max="132" width="9.85546875" style="8" hidden="1" customWidth="1"/>
    <col min="133" max="133" width="9.7109375" style="8" hidden="1" customWidth="1"/>
    <col min="134" max="134" width="13.42578125" style="8" hidden="1" customWidth="1"/>
    <col min="135" max="135" width="9.28515625" style="8" hidden="1" customWidth="1"/>
    <col min="136" max="136" width="9.7109375" style="8" hidden="1" customWidth="1"/>
    <col min="137" max="137" width="10" style="8" hidden="1" customWidth="1"/>
    <col min="138" max="138" width="9.5703125" style="8" hidden="1" customWidth="1"/>
    <col min="139" max="139" width="9.42578125" style="8" hidden="1" customWidth="1"/>
    <col min="140" max="140" width="8.85546875" style="8" hidden="1" customWidth="1"/>
    <col min="141" max="141" width="9.85546875" style="8" hidden="1" customWidth="1"/>
    <col min="142" max="142" width="9.7109375" style="8" hidden="1" customWidth="1"/>
    <col min="143" max="143" width="10.85546875" style="8" hidden="1" customWidth="1"/>
    <col min="144" max="144" width="9.28515625" style="8" hidden="1" customWidth="1"/>
    <col min="145" max="145" width="9.7109375" style="8" hidden="1" customWidth="1"/>
    <col min="146" max="146" width="10" style="8" hidden="1" customWidth="1"/>
    <col min="147" max="147" width="9.5703125" style="8" hidden="1" customWidth="1"/>
    <col min="148" max="148" width="9.42578125" style="8" hidden="1" customWidth="1"/>
    <col min="149" max="149" width="8.85546875" style="8" hidden="1" customWidth="1"/>
    <col min="150" max="150" width="9.85546875" style="8" hidden="1" customWidth="1"/>
    <col min="151" max="151" width="9.7109375" style="8" hidden="1" customWidth="1"/>
    <col min="152" max="152" width="10.42578125" style="8" hidden="1" customWidth="1"/>
    <col min="153" max="153" width="9.28515625" style="8" hidden="1" customWidth="1"/>
    <col min="154" max="154" width="9.7109375" style="8" hidden="1" customWidth="1"/>
    <col min="155" max="155" width="10" style="8" hidden="1" customWidth="1"/>
    <col min="156" max="156" width="9.5703125" style="8" hidden="1" customWidth="1"/>
    <col min="157" max="157" width="9.42578125" style="8" hidden="1" customWidth="1"/>
    <col min="158" max="158" width="8.85546875" style="8" hidden="1" customWidth="1"/>
    <col min="159" max="159" width="9.85546875" style="8" hidden="1" customWidth="1"/>
    <col min="160" max="160" width="9.7109375" style="8" hidden="1" customWidth="1"/>
    <col min="161" max="161" width="11.5703125" style="8" hidden="1" customWidth="1"/>
    <col min="162" max="162" width="11.28515625" style="8" hidden="1" customWidth="1"/>
    <col min="163" max="16384" width="9.140625" style="8" hidden="1"/>
  </cols>
  <sheetData>
    <row r="1" spans="1:40" hidden="1">
      <c r="A1" s="16"/>
      <c r="B1" s="17"/>
      <c r="C1" s="18"/>
    </row>
    <row r="2" spans="1:40">
      <c r="A2" s="19"/>
      <c r="B2" s="20"/>
      <c r="C2" s="21"/>
      <c r="Z2" s="8" t="s">
        <v>44</v>
      </c>
      <c r="AA2" s="8" t="s">
        <v>77</v>
      </c>
    </row>
    <row r="3" spans="1:40">
      <c r="A3" s="19"/>
      <c r="B3" s="20"/>
      <c r="C3" s="21"/>
      <c r="V3" s="8" t="s">
        <v>81</v>
      </c>
      <c r="W3" s="8" t="s">
        <v>90</v>
      </c>
      <c r="Z3" s="8" t="s">
        <v>81</v>
      </c>
      <c r="AA3" s="8" t="s">
        <v>90</v>
      </c>
    </row>
    <row r="4" spans="1:40">
      <c r="A4" s="19"/>
      <c r="B4" s="20"/>
      <c r="C4" s="21"/>
      <c r="V4" s="8" t="s">
        <v>0</v>
      </c>
      <c r="W4" s="8" t="s">
        <v>90</v>
      </c>
    </row>
    <row r="5" spans="1:40">
      <c r="A5" s="19"/>
      <c r="B5" s="20"/>
      <c r="C5" s="21"/>
      <c r="Z5" s="8" t="s">
        <v>102</v>
      </c>
      <c r="AA5" s="8" t="s">
        <v>98</v>
      </c>
      <c r="AC5"/>
      <c r="AD5"/>
      <c r="AE5"/>
      <c r="AF5"/>
      <c r="AG5"/>
      <c r="AH5"/>
      <c r="AI5"/>
      <c r="AJ5"/>
      <c r="AK5"/>
      <c r="AL5"/>
      <c r="AM5"/>
      <c r="AN5"/>
    </row>
    <row r="6" spans="1:40">
      <c r="A6" s="19"/>
      <c r="B6" s="20"/>
      <c r="C6" s="21"/>
      <c r="V6" s="8" t="s">
        <v>102</v>
      </c>
      <c r="W6" s="8" t="s">
        <v>98</v>
      </c>
      <c r="Z6" s="8" t="s">
        <v>91</v>
      </c>
      <c r="AA6" s="8" t="s">
        <v>38</v>
      </c>
      <c r="AB6" s="8" t="s">
        <v>94</v>
      </c>
      <c r="AC6"/>
      <c r="AD6"/>
      <c r="AE6"/>
      <c r="AF6"/>
      <c r="AG6"/>
      <c r="AH6"/>
      <c r="AI6"/>
      <c r="AJ6"/>
      <c r="AK6"/>
      <c r="AL6"/>
      <c r="AM6"/>
      <c r="AN6"/>
    </row>
    <row r="7" spans="1:40">
      <c r="A7" s="19"/>
      <c r="B7" s="20"/>
      <c r="C7" s="21"/>
      <c r="V7" s="8" t="s">
        <v>91</v>
      </c>
      <c r="W7" s="8" t="s">
        <v>77</v>
      </c>
      <c r="X7" s="8" t="s">
        <v>94</v>
      </c>
      <c r="Z7" s="22">
        <v>44713</v>
      </c>
      <c r="AA7" s="29">
        <v>0.57999999999999996</v>
      </c>
      <c r="AB7" s="29">
        <v>0.57999999999999996</v>
      </c>
      <c r="AC7"/>
      <c r="AD7"/>
      <c r="AE7"/>
      <c r="AF7"/>
      <c r="AG7"/>
      <c r="AH7"/>
      <c r="AI7"/>
      <c r="AJ7"/>
      <c r="AK7"/>
      <c r="AL7"/>
      <c r="AM7"/>
      <c r="AN7"/>
    </row>
    <row r="8" spans="1:40">
      <c r="A8" s="19"/>
      <c r="B8" s="20"/>
      <c r="C8" s="21"/>
      <c r="V8" s="23" t="s">
        <v>16</v>
      </c>
      <c r="W8" s="29">
        <v>11.7</v>
      </c>
      <c r="X8" s="29">
        <v>11.7</v>
      </c>
      <c r="Z8" s="22">
        <v>44743</v>
      </c>
      <c r="AA8" s="29">
        <v>0.93</v>
      </c>
      <c r="AB8" s="29">
        <v>0.93</v>
      </c>
      <c r="AC8"/>
      <c r="AD8"/>
      <c r="AE8"/>
      <c r="AF8"/>
      <c r="AG8"/>
      <c r="AH8"/>
      <c r="AI8"/>
      <c r="AJ8"/>
      <c r="AK8"/>
      <c r="AL8"/>
      <c r="AM8"/>
      <c r="AN8"/>
    </row>
    <row r="9" spans="1:40">
      <c r="A9" s="19"/>
      <c r="B9" s="20"/>
      <c r="C9" s="21"/>
      <c r="V9" s="23" t="s">
        <v>34</v>
      </c>
      <c r="W9" s="29">
        <v>0.44</v>
      </c>
      <c r="X9" s="29">
        <v>0.44</v>
      </c>
      <c r="Z9" s="22">
        <v>44774</v>
      </c>
      <c r="AA9" s="29">
        <v>1.36</v>
      </c>
      <c r="AB9" s="29">
        <v>1.36</v>
      </c>
      <c r="AC9"/>
      <c r="AD9"/>
      <c r="AE9"/>
      <c r="AF9"/>
      <c r="AG9"/>
      <c r="AH9"/>
      <c r="AI9"/>
      <c r="AJ9"/>
      <c r="AK9"/>
      <c r="AL9"/>
      <c r="AM9"/>
      <c r="AN9"/>
    </row>
    <row r="10" spans="1:40">
      <c r="A10" s="19"/>
      <c r="B10" s="20"/>
      <c r="C10" s="21"/>
      <c r="V10" s="23" t="s">
        <v>36</v>
      </c>
      <c r="W10" s="29">
        <v>5.56</v>
      </c>
      <c r="X10" s="29">
        <v>5.56</v>
      </c>
      <c r="Z10" s="22">
        <v>44805</v>
      </c>
      <c r="AA10" s="29">
        <v>0.71</v>
      </c>
      <c r="AB10" s="29">
        <v>0.71</v>
      </c>
      <c r="AC10"/>
      <c r="AD10"/>
      <c r="AE10"/>
      <c r="AF10"/>
      <c r="AG10"/>
      <c r="AH10"/>
      <c r="AI10"/>
      <c r="AJ10"/>
      <c r="AK10"/>
      <c r="AL10"/>
      <c r="AM10"/>
      <c r="AN10"/>
    </row>
    <row r="11" spans="1:40">
      <c r="A11" s="19"/>
      <c r="B11" s="20"/>
      <c r="C11" s="21"/>
      <c r="V11" s="23" t="s">
        <v>38</v>
      </c>
      <c r="W11" s="29">
        <v>3.5800000000000005</v>
      </c>
      <c r="X11" s="29">
        <v>3.5800000000000005</v>
      </c>
      <c r="Z11" s="22" t="s">
        <v>94</v>
      </c>
      <c r="AA11" s="29">
        <v>3.58</v>
      </c>
      <c r="AB11" s="29">
        <v>3.58</v>
      </c>
      <c r="AC11"/>
      <c r="AD11"/>
      <c r="AE11"/>
      <c r="AF11"/>
      <c r="AG11"/>
      <c r="AH11"/>
      <c r="AI11"/>
      <c r="AJ11"/>
      <c r="AK11"/>
      <c r="AL11"/>
      <c r="AM11"/>
      <c r="AN11"/>
    </row>
    <row r="12" spans="1:40">
      <c r="A12" s="19"/>
      <c r="B12" s="20"/>
      <c r="C12" s="21"/>
      <c r="V12" s="23" t="s">
        <v>40</v>
      </c>
      <c r="W12" s="29">
        <v>1.04</v>
      </c>
      <c r="X12" s="29">
        <v>1.04</v>
      </c>
      <c r="Z12"/>
      <c r="AA12"/>
      <c r="AB12"/>
      <c r="AC12"/>
      <c r="AD12"/>
      <c r="AE12"/>
      <c r="AF12"/>
      <c r="AG12"/>
      <c r="AH12"/>
      <c r="AI12"/>
      <c r="AJ12"/>
      <c r="AK12"/>
      <c r="AL12"/>
      <c r="AM12"/>
      <c r="AN12"/>
    </row>
    <row r="13" spans="1:40">
      <c r="A13" s="19"/>
      <c r="B13" s="20"/>
      <c r="C13" s="21"/>
      <c r="V13" s="23" t="s">
        <v>18</v>
      </c>
      <c r="W13" s="29">
        <v>8.5</v>
      </c>
      <c r="X13" s="29">
        <v>8.5</v>
      </c>
      <c r="Z13"/>
      <c r="AA13"/>
      <c r="AB13"/>
      <c r="AC13"/>
      <c r="AD13"/>
      <c r="AE13"/>
      <c r="AF13"/>
      <c r="AG13"/>
      <c r="AH13"/>
      <c r="AI13"/>
      <c r="AJ13"/>
      <c r="AK13"/>
      <c r="AL13"/>
      <c r="AM13"/>
      <c r="AN13"/>
    </row>
    <row r="14" spans="1:40">
      <c r="A14" s="19"/>
      <c r="B14" s="20"/>
      <c r="C14" s="21"/>
      <c r="V14" s="23" t="s">
        <v>20</v>
      </c>
      <c r="W14" s="29">
        <v>7.6700000000000008</v>
      </c>
      <c r="X14" s="29">
        <v>7.6700000000000008</v>
      </c>
      <c r="Z14"/>
      <c r="AA14"/>
      <c r="AB14"/>
      <c r="AC14"/>
      <c r="AD14"/>
      <c r="AE14"/>
      <c r="AF14"/>
      <c r="AG14"/>
      <c r="AH14"/>
      <c r="AI14"/>
      <c r="AJ14"/>
      <c r="AK14"/>
      <c r="AL14"/>
      <c r="AM14"/>
      <c r="AN14"/>
    </row>
    <row r="15" spans="1:40">
      <c r="A15" s="19"/>
      <c r="B15" s="20"/>
      <c r="C15" s="21"/>
      <c r="V15" s="23" t="s">
        <v>22</v>
      </c>
      <c r="W15" s="29">
        <v>5.5699999999999994</v>
      </c>
      <c r="X15" s="29">
        <v>5.5699999999999994</v>
      </c>
      <c r="Z15"/>
      <c r="AA15"/>
      <c r="AB15"/>
      <c r="AC15"/>
      <c r="AD15"/>
      <c r="AE15"/>
      <c r="AF15"/>
      <c r="AG15"/>
      <c r="AH15"/>
      <c r="AI15"/>
      <c r="AJ15"/>
      <c r="AK15"/>
      <c r="AL15"/>
      <c r="AM15"/>
      <c r="AN15"/>
    </row>
    <row r="16" spans="1:40">
      <c r="A16" s="19"/>
      <c r="B16" s="20"/>
      <c r="C16" s="21"/>
      <c r="V16" s="23" t="s">
        <v>24</v>
      </c>
      <c r="W16" s="29">
        <v>4.8600000000000003</v>
      </c>
      <c r="X16" s="29">
        <v>4.8600000000000003</v>
      </c>
    </row>
    <row r="17" spans="1:24">
      <c r="A17" s="19"/>
      <c r="B17" s="20"/>
      <c r="C17" s="21"/>
      <c r="V17" s="23" t="s">
        <v>26</v>
      </c>
      <c r="W17" s="29">
        <v>3.4899999999999998</v>
      </c>
      <c r="X17" s="29">
        <v>3.4899999999999998</v>
      </c>
    </row>
    <row r="18" spans="1:24">
      <c r="A18" s="24"/>
      <c r="B18" s="25"/>
      <c r="C18" s="26"/>
      <c r="V18" s="23" t="s">
        <v>28</v>
      </c>
      <c r="W18" s="29">
        <v>2.16</v>
      </c>
      <c r="X18" s="29">
        <v>2.16</v>
      </c>
    </row>
    <row r="19" spans="1:24">
      <c r="V19" s="23" t="s">
        <v>30</v>
      </c>
      <c r="W19" s="29">
        <v>1.18</v>
      </c>
      <c r="X19" s="29">
        <v>1.18</v>
      </c>
    </row>
    <row r="20" spans="1:24">
      <c r="V20" s="23" t="s">
        <v>32</v>
      </c>
      <c r="W20" s="29">
        <v>0.64</v>
      </c>
      <c r="X20" s="29">
        <v>0.64</v>
      </c>
    </row>
    <row r="21" spans="1:24">
      <c r="V21" s="23" t="s">
        <v>94</v>
      </c>
      <c r="W21" s="29">
        <v>56.390000000000008</v>
      </c>
      <c r="X21" s="29">
        <v>56.390000000000008</v>
      </c>
    </row>
    <row r="22" spans="1:24"/>
    <row r="23" spans="1:24"/>
    <row r="24" spans="1:24"/>
    <row r="25" spans="1:24"/>
    <row r="26" spans="1:24"/>
    <row r="27" spans="1:24"/>
    <row r="28" spans="1:24"/>
    <row r="29" spans="1:24"/>
    <row r="30" spans="1:24"/>
    <row r="31" spans="1:24"/>
    <row r="32" spans="1:24"/>
    <row r="33"/>
    <row r="34"/>
    <row r="35"/>
    <row r="36"/>
    <row r="37"/>
    <row r="38"/>
    <row r="39"/>
    <row r="40"/>
    <row r="41"/>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T25"/>
  <sheetViews>
    <sheetView workbookViewId="0"/>
  </sheetViews>
  <sheetFormatPr defaultColWidth="0" defaultRowHeight="15" zeroHeight="1"/>
  <cols>
    <col min="1" max="20" width="9.140625" style="8" customWidth="1"/>
    <col min="21" max="16384" width="9.140625" style="8" hidden="1"/>
  </cols>
  <sheetData>
    <row r="1"/>
    <row r="2"/>
    <row r="3"/>
    <row r="4"/>
    <row r="5"/>
    <row r="6"/>
    <row r="7"/>
    <row r="8"/>
    <row r="9"/>
    <row r="10"/>
    <row r="11"/>
    <row r="12"/>
    <row r="13"/>
    <row r="14"/>
    <row r="15"/>
    <row r="16"/>
    <row r="17"/>
    <row r="18"/>
    <row r="19"/>
    <row r="20"/>
    <row r="21"/>
    <row r="22"/>
    <row r="23"/>
    <row r="24"/>
    <row r="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Vaishnavi</dc:creator>
  <cp:keywords/>
  <dc:description/>
  <cp:lastModifiedBy>Vaishnavi S</cp:lastModifiedBy>
  <cp:revision/>
  <dcterms:created xsi:type="dcterms:W3CDTF">2022-12-31T14:45:43Z</dcterms:created>
  <dcterms:modified xsi:type="dcterms:W3CDTF">2023-03-17T14:58:26Z</dcterms:modified>
  <cp:category/>
  <cp:contentStatus/>
</cp:coreProperties>
</file>